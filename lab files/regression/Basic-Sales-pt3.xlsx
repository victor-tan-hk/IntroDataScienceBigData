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defaultThemeVersion="124226"/>
  <xr:revisionPtr revIDLastSave="0" documentId="13_ncr:1_{08A3CB0F-4DD2-4062-9812-0D7722B0E4B7}" xr6:coauthVersionLast="47" xr6:coauthVersionMax="47" xr10:uidLastSave="{00000000-0000-0000-0000-000000000000}"/>
  <bookViews>
    <workbookView xWindow="30612" yWindow="-108" windowWidth="30936" windowHeight="16776" activeTab="4" xr2:uid="{00000000-000D-0000-FFFF-FFFF00000000}"/>
  </bookViews>
  <sheets>
    <sheet name="initial" sheetId="1" r:id="rId1"/>
    <sheet name="final-increment-v1" sheetId="3" r:id="rId2"/>
    <sheet name="final-increment-v2" sheetId="4" r:id="rId3"/>
    <sheet name="initial-noise" sheetId="6" r:id="rId4"/>
    <sheet name="final-increment-nois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3" i="6" l="1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31" i="5" l="1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30" i="5"/>
</calcChain>
</file>

<file path=xl/sharedStrings.xml><?xml version="1.0" encoding="utf-8"?>
<sst xmlns="http://schemas.openxmlformats.org/spreadsheetml/2006/main" count="298" uniqueCount="44">
  <si>
    <t>Month</t>
  </si>
  <si>
    <t>Unit Sales</t>
  </si>
  <si>
    <t>Price ($)</t>
  </si>
  <si>
    <t>Adexp ('000$)</t>
  </si>
  <si>
    <t>Promexp ('000$)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</si>
  <si>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</si>
  <si>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</si>
  <si>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</si>
  <si>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</si>
  <si>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</si>
  <si>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</si>
  <si>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</si>
  <si>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</si>
  <si>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</si>
  <si>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</si>
  <si>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</si>
  <si>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</si>
  <si>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</si>
  <si>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</si>
  <si>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</si>
  <si>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</si>
  <si>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</si>
  <si>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</si>
  <si>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</si>
  <si>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</si>
  <si>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</si>
  <si>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</si>
  <si>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</si>
  <si>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SUMMARY OUTPUT using Price as independent variable</t>
  </si>
  <si>
    <t>SUMMARY OUTPUT using PromExp as independent variable</t>
  </si>
  <si>
    <t>SUMMARY OUTPUT using PromExp, AdExp as independent variables</t>
  </si>
  <si>
    <t>SUMMARY OUTPUT using Price, AdExp, PromExp as independent variables</t>
  </si>
  <si>
    <t>SUMMARY OUTPUT using Price, AdExp  as independent variables</t>
  </si>
  <si>
    <t>SUMMARY OUTPUT using PromExp, AdExp, Price as independent variables</t>
  </si>
  <si>
    <t>Defective units</t>
  </si>
  <si>
    <t>Workers</t>
  </si>
  <si>
    <t>Sample dummy value</t>
  </si>
  <si>
    <t>SUMMARY OUTPUT</t>
  </si>
  <si>
    <t>SUMMARY OUTPUT using Price, AdExp, PromExp, Defective Unit as independent variables</t>
  </si>
  <si>
    <t>R-Square increase</t>
  </si>
  <si>
    <t>Adjusted R-square decrease</t>
  </si>
  <si>
    <t>Adjusted R-square increase</t>
  </si>
  <si>
    <t>R-Squared increase</t>
  </si>
  <si>
    <t>SUMMARY OUTPUT using Price, AdExp, PromExp, Defective Units, Workers as independent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</si>
</sst>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/>
    </xf>
    <xf numFmtId="2" fontId="0" fillId="0" borderId="0" xfId="0" applyNumberFormat="1"/>
    <xf numFmtId="0" fontId="0" fillId="0" borderId="2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0" fontId="0" fillId="2" borderId="0" xfId="0" applyFill="1"/>
    <xf numFmtId="0" fontId="3" fillId="0" borderId="0" xfId="0" applyFont="1"/>
    <xf numFmtId="0" fontId="0" fillId="3" borderId="0" xfId="0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Continuous"/>
    </xf>
    <xf numFmtId="0" fontId="0" fillId="4" borderId="0" xfId="0" applyFill="1"/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771525</xdr:colOff>
      <xdr:row>1</xdr:row>
      <xdr:rowOff>31751</xdr:rowOff>
    </xdr:from>
    <xdr:to>
      <xdr:col>14</xdr:col>
      <xdr:colOff>400050</xdr:colOff>
      <xdr:row>2</xdr:row>
      <xdr:rowOff>161518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3B5B25-48B8-4316-B412-49E31E3B5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1525" y="212726"/>
          <a:ext cx="5962650" cy="3107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771525</xdr:colOff>
      <xdr:row>1</xdr:row>
      <xdr:rowOff>31751</xdr:rowOff>
    </xdr:from>
    <xdr:to>
      <xdr:col>13</xdr:col>
      <xdr:colOff>779764</xdr:colOff>
      <xdr:row>2</xdr:row>
      <xdr:rowOff>159605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CA84AA-228C-4A91-9E1D-319ACBA4B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2160" y="211773"/>
          <a:ext cx="5958840" cy="313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771525</xdr:colOff>
      <xdr:row>1</xdr:row>
      <xdr:rowOff>31751</xdr:rowOff>
    </xdr:from>
    <xdr:to>
      <xdr:col>13</xdr:col>
      <xdr:colOff>307324</xdr:colOff>
      <xdr:row>2</xdr:row>
      <xdr:rowOff>159605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28EC6D-A3A5-4783-8EA6-DBCE167E9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2160" y="211773"/>
          <a:ext cx="5958840" cy="313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771525</xdr:colOff>
      <xdr:row>1</xdr:row>
      <xdr:rowOff>31751</xdr:rowOff>
    </xdr:from>
    <xdr:to>
      <xdr:col>14</xdr:col>
      <xdr:colOff>207304</xdr:colOff>
      <xdr:row>2</xdr:row>
      <xdr:rowOff>157693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F9B051-7A0C-4043-8E20-1495E684F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4845" y="214631"/>
          <a:ext cx="5707039" cy="3088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771525</xdr:colOff>
      <xdr:row>1</xdr:row>
      <xdr:rowOff>31751</xdr:rowOff>
    </xdr:from>
    <xdr:to>
      <xdr:col>14</xdr:col>
      <xdr:colOff>207304</xdr:colOff>
      <xdr:row>2</xdr:row>
      <xdr:rowOff>157693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4BEE8B-EF04-47C2-8C2A-E0E975F58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2160" y="211773"/>
          <a:ext cx="5957871" cy="311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opLeftCell="B1" zoomScale="150" zoomScaleNormal="150" workbookViewId="0">
      <selection activeCell="G23" sqref="G23"/>
    </sheetView>
  </sheetViews>
  <sheetFormatPr defaultRowHeight="14.4" x14ac:dyDescent="0.3"/>
  <cols>
    <col min="2" max="2" width="11.21875" customWidth="1"/>
    <col min="3" max="3" width="10.109375" customWidth="1"/>
    <col min="4" max="4" width="15.109375" customWidth="1"/>
    <col min="5" max="5" width="16.44140625" customWidth="1"/>
    <col min="7" max="7" width="14.44140625" customWidth="1"/>
    <col min="8" max="8" width="10.21875" customWidth="1"/>
    <col min="9" max="9" width="12.77734375" customWidth="1"/>
    <col min="10" max="10" width="9.88671875" customWidth="1"/>
    <col min="11" max="11" width="9.44140625" customWidth="1"/>
    <col min="12" max="13" width="10.21875" customWidth="1"/>
    <col min="14" max="14" width="11.44140625" customWidth="1"/>
    <col min="15" max="15" width="11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73959</v>
      </c>
      <c r="C2" s="2">
        <v>8.75</v>
      </c>
      <c r="D2" s="2">
        <v>50.04</v>
      </c>
      <c r="E2" s="2">
        <v>61.13</v>
      </c>
    </row>
    <row r="3" spans="1:5" x14ac:dyDescent="0.3">
      <c r="A3">
        <v>2</v>
      </c>
      <c r="B3">
        <v>71544</v>
      </c>
      <c r="C3" s="2">
        <v>8.99</v>
      </c>
      <c r="D3" s="2">
        <v>50.74</v>
      </c>
      <c r="E3" s="2">
        <v>60.19</v>
      </c>
    </row>
    <row r="4" spans="1:5" x14ac:dyDescent="0.3">
      <c r="A4">
        <v>3</v>
      </c>
      <c r="B4">
        <v>78587</v>
      </c>
      <c r="C4" s="2">
        <v>7.5</v>
      </c>
      <c r="D4" s="2">
        <v>50.14</v>
      </c>
      <c r="E4" s="2">
        <v>59.16</v>
      </c>
    </row>
    <row r="5" spans="1:5" x14ac:dyDescent="0.3">
      <c r="A5">
        <v>4</v>
      </c>
      <c r="B5">
        <v>80364</v>
      </c>
      <c r="C5" s="2">
        <v>7.25</v>
      </c>
      <c r="D5" s="2">
        <v>50.27</v>
      </c>
      <c r="E5" s="2">
        <v>60.38</v>
      </c>
    </row>
    <row r="6" spans="1:5" x14ac:dyDescent="0.3">
      <c r="A6">
        <v>5</v>
      </c>
      <c r="B6">
        <v>78771</v>
      </c>
      <c r="C6" s="2">
        <v>7.4</v>
      </c>
      <c r="D6" s="2">
        <v>51.25</v>
      </c>
      <c r="E6" s="2">
        <v>59.71</v>
      </c>
    </row>
    <row r="7" spans="1:5" x14ac:dyDescent="0.3">
      <c r="A7">
        <v>6</v>
      </c>
      <c r="B7">
        <v>71986</v>
      </c>
      <c r="C7" s="2">
        <v>8.5</v>
      </c>
      <c r="D7" s="2">
        <v>50.65</v>
      </c>
      <c r="E7" s="2">
        <v>59.88</v>
      </c>
    </row>
    <row r="8" spans="1:5" x14ac:dyDescent="0.3">
      <c r="A8">
        <v>7</v>
      </c>
      <c r="B8">
        <v>74885</v>
      </c>
      <c r="C8" s="2">
        <v>8.4</v>
      </c>
      <c r="D8" s="2">
        <v>50.87</v>
      </c>
      <c r="E8" s="2">
        <v>60.14</v>
      </c>
    </row>
    <row r="9" spans="1:5" x14ac:dyDescent="0.3">
      <c r="A9">
        <v>8</v>
      </c>
      <c r="B9">
        <v>73345</v>
      </c>
      <c r="C9" s="2">
        <v>7.9</v>
      </c>
      <c r="D9" s="2">
        <v>50.15</v>
      </c>
      <c r="E9" s="2">
        <v>60.08</v>
      </c>
    </row>
    <row r="10" spans="1:5" x14ac:dyDescent="0.3">
      <c r="A10">
        <v>9</v>
      </c>
      <c r="B10">
        <v>76659</v>
      </c>
      <c r="C10" s="2">
        <v>7.25</v>
      </c>
      <c r="D10" s="2">
        <v>48.24</v>
      </c>
      <c r="E10" s="2">
        <v>59.9</v>
      </c>
    </row>
    <row r="11" spans="1:5" x14ac:dyDescent="0.3">
      <c r="A11">
        <v>10</v>
      </c>
      <c r="B11">
        <v>71880</v>
      </c>
      <c r="C11" s="2">
        <v>8.7000000000000011</v>
      </c>
      <c r="D11" s="2">
        <v>50.19</v>
      </c>
      <c r="E11" s="2">
        <v>59.68</v>
      </c>
    </row>
    <row r="12" spans="1:5" x14ac:dyDescent="0.3">
      <c r="A12">
        <v>11</v>
      </c>
      <c r="B12">
        <v>73598</v>
      </c>
      <c r="C12" s="2">
        <v>8.4</v>
      </c>
      <c r="D12" s="2">
        <v>51.11</v>
      </c>
      <c r="E12" s="2">
        <v>59.83</v>
      </c>
    </row>
    <row r="13" spans="1:5" x14ac:dyDescent="0.3">
      <c r="A13">
        <v>12</v>
      </c>
      <c r="B13">
        <v>74893</v>
      </c>
      <c r="C13" s="2">
        <v>8.1</v>
      </c>
      <c r="D13" s="2">
        <v>51.49</v>
      </c>
      <c r="E13" s="2">
        <v>59.77</v>
      </c>
    </row>
    <row r="14" spans="1:5" x14ac:dyDescent="0.3">
      <c r="A14">
        <v>13</v>
      </c>
      <c r="B14">
        <v>69003</v>
      </c>
      <c r="C14" s="2">
        <v>8.4</v>
      </c>
      <c r="D14" s="2">
        <v>50.1</v>
      </c>
      <c r="E14" s="2">
        <v>59.29</v>
      </c>
    </row>
    <row r="15" spans="1:5" x14ac:dyDescent="0.3">
      <c r="A15">
        <v>14</v>
      </c>
      <c r="B15">
        <v>78542</v>
      </c>
      <c r="C15" s="2">
        <v>7.4</v>
      </c>
      <c r="D15" s="2">
        <v>49.24</v>
      </c>
      <c r="E15" s="2">
        <v>60.4</v>
      </c>
    </row>
    <row r="16" spans="1:5" x14ac:dyDescent="0.3">
      <c r="A16">
        <v>15</v>
      </c>
      <c r="B16">
        <v>72543</v>
      </c>
      <c r="C16" s="2">
        <v>8</v>
      </c>
      <c r="D16" s="2">
        <v>50.04</v>
      </c>
      <c r="E16" s="2">
        <v>59.89</v>
      </c>
    </row>
    <row r="17" spans="1:5" x14ac:dyDescent="0.3">
      <c r="A17">
        <v>16</v>
      </c>
      <c r="B17">
        <v>74247</v>
      </c>
      <c r="C17" s="2">
        <v>8.3000000000000007</v>
      </c>
      <c r="D17" s="2">
        <v>49.46</v>
      </c>
      <c r="E17" s="2">
        <v>60.06</v>
      </c>
    </row>
    <row r="18" spans="1:5" x14ac:dyDescent="0.3">
      <c r="A18">
        <v>17</v>
      </c>
      <c r="B18">
        <v>76253</v>
      </c>
      <c r="C18" s="2">
        <v>8.1</v>
      </c>
      <c r="D18" s="2">
        <v>51.62</v>
      </c>
      <c r="E18" s="2">
        <v>60.51</v>
      </c>
    </row>
    <row r="19" spans="1:5" x14ac:dyDescent="0.3">
      <c r="A19">
        <v>18</v>
      </c>
      <c r="B19">
        <v>72582</v>
      </c>
      <c r="C19" s="2">
        <v>8.2000000000000011</v>
      </c>
      <c r="D19" s="2">
        <v>49.78</v>
      </c>
      <c r="E19" s="2">
        <v>58.93</v>
      </c>
    </row>
    <row r="20" spans="1:5" x14ac:dyDescent="0.3">
      <c r="A20">
        <v>19</v>
      </c>
      <c r="B20">
        <v>69022</v>
      </c>
      <c r="C20" s="2">
        <v>8.99</v>
      </c>
      <c r="D20" s="2">
        <v>48.6</v>
      </c>
      <c r="E20" s="2">
        <v>60.09</v>
      </c>
    </row>
    <row r="21" spans="1:5" x14ac:dyDescent="0.3">
      <c r="A21">
        <v>20</v>
      </c>
      <c r="B21">
        <v>76200</v>
      </c>
      <c r="C21" s="2">
        <v>7.99</v>
      </c>
      <c r="D21" s="2">
        <v>49</v>
      </c>
      <c r="E21" s="2">
        <v>61</v>
      </c>
    </row>
    <row r="22" spans="1:5" x14ac:dyDescent="0.3">
      <c r="A22">
        <v>21</v>
      </c>
      <c r="B22">
        <v>69701</v>
      </c>
      <c r="C22" s="2">
        <v>8.5</v>
      </c>
      <c r="D22" s="2">
        <v>48</v>
      </c>
      <c r="E22" s="2">
        <v>59</v>
      </c>
    </row>
    <row r="23" spans="1:5" x14ac:dyDescent="0.3">
      <c r="A23">
        <v>22</v>
      </c>
      <c r="B23">
        <v>77005</v>
      </c>
      <c r="C23" s="2">
        <v>7.9</v>
      </c>
      <c r="D23" s="2">
        <v>54</v>
      </c>
      <c r="E23" s="2">
        <v>59.5</v>
      </c>
    </row>
    <row r="24" spans="1:5" x14ac:dyDescent="0.3">
      <c r="A24">
        <v>23</v>
      </c>
      <c r="B24">
        <v>70987</v>
      </c>
      <c r="C24" s="2">
        <v>7.99</v>
      </c>
      <c r="D24" s="2">
        <v>48.7</v>
      </c>
      <c r="E24" s="2">
        <v>58</v>
      </c>
    </row>
    <row r="25" spans="1:5" x14ac:dyDescent="0.3">
      <c r="A25">
        <v>24</v>
      </c>
      <c r="B25">
        <v>75643</v>
      </c>
      <c r="C25" s="2">
        <v>8.25</v>
      </c>
      <c r="D25" s="2">
        <v>50</v>
      </c>
      <c r="E25" s="2">
        <v>60.5</v>
      </c>
    </row>
    <row r="27" spans="1:5" x14ac:dyDescent="0.3">
      <c r="C27" s="2"/>
      <c r="D27" s="2"/>
      <c r="E27" s="2"/>
    </row>
    <row r="28" spans="1:5" x14ac:dyDescent="0.3">
      <c r="C28" s="2"/>
      <c r="D28" s="2"/>
      <c r="E28" s="2"/>
    </row>
    <row r="29" spans="1:5" x14ac:dyDescent="0.3">
      <c r="C29" s="2"/>
      <c r="D29" s="2"/>
      <c r="E29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ADD6-F3C6-48DA-8DFE-C51C1816AE68}">
  <dimension ref="A1:P69"/>
  <sheetViews>
    <sheetView zoomScale="150" zoomScaleNormal="150" workbookViewId="0">
      <selection activeCell="K54" sqref="K54:K55"/>
    </sheetView>
  </sheetViews>
  <sheetFormatPr defaultRowHeight="14.4" x14ac:dyDescent="0.3"/>
  <cols>
    <col min="2" max="2" width="11.21875" customWidth="1"/>
    <col min="3" max="3" width="10.109375" customWidth="1"/>
    <col min="4" max="4" width="15.109375" customWidth="1"/>
    <col min="5" max="5" width="16.44140625" customWidth="1"/>
    <col min="7" max="7" width="14.44140625" customWidth="1"/>
    <col min="8" max="8" width="16.21875" customWidth="1"/>
    <col min="9" max="9" width="12.77734375" customWidth="1"/>
    <col min="10" max="10" width="9.88671875" customWidth="1"/>
    <col min="11" max="11" width="9.44140625" customWidth="1"/>
    <col min="12" max="13" width="10.21875" customWidth="1"/>
    <col min="14" max="14" width="11.44140625" customWidth="1"/>
    <col min="15" max="15" width="11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x14ac:dyDescent="0.3">
      <c r="A2">
        <v>1</v>
      </c>
      <c r="B2">
        <v>73959</v>
      </c>
      <c r="C2" s="2">
        <v>8.75</v>
      </c>
      <c r="D2" s="2">
        <v>50.04</v>
      </c>
      <c r="E2" s="2">
        <v>61.13</v>
      </c>
    </row>
    <row r="3" spans="1:11" x14ac:dyDescent="0.3">
      <c r="A3">
        <v>2</v>
      </c>
      <c r="B3">
        <v>71544</v>
      </c>
      <c r="C3" s="2">
        <v>8.99</v>
      </c>
      <c r="D3" s="2">
        <v>50.74</v>
      </c>
      <c r="E3" s="2">
        <v>60.19</v>
      </c>
    </row>
    <row r="4" spans="1:11" x14ac:dyDescent="0.3">
      <c r="A4">
        <v>3</v>
      </c>
      <c r="B4">
        <v>78587</v>
      </c>
      <c r="C4" s="2">
        <v>7.5</v>
      </c>
      <c r="D4" s="2">
        <v>50.14</v>
      </c>
      <c r="E4" s="2">
        <v>59.16</v>
      </c>
    </row>
    <row r="5" spans="1:11" x14ac:dyDescent="0.3">
      <c r="A5">
        <v>4</v>
      </c>
      <c r="B5">
        <v>80364</v>
      </c>
      <c r="C5" s="2">
        <v>7.25</v>
      </c>
      <c r="D5" s="2">
        <v>50.27</v>
      </c>
      <c r="E5" s="2">
        <v>60.38</v>
      </c>
    </row>
    <row r="6" spans="1:11" x14ac:dyDescent="0.3">
      <c r="A6">
        <v>5</v>
      </c>
      <c r="B6">
        <v>78771</v>
      </c>
      <c r="C6" s="2">
        <v>7.4</v>
      </c>
      <c r="D6" s="2">
        <v>51.25</v>
      </c>
      <c r="E6" s="2">
        <v>59.71</v>
      </c>
    </row>
    <row r="7" spans="1:11" ht="18" x14ac:dyDescent="0.35">
      <c r="A7">
        <v>6</v>
      </c>
      <c r="B7">
        <v>71986</v>
      </c>
      <c r="C7" s="2">
        <v>8.5</v>
      </c>
      <c r="D7" s="2">
        <v>50.65</v>
      </c>
      <c r="E7" s="2">
        <v>59.88</v>
      </c>
      <c r="H7" s="7" t="s">
        <v>28</v>
      </c>
    </row>
    <row r="8" spans="1:11" ht="15" thickBot="1" x14ac:dyDescent="0.35">
      <c r="A8">
        <v>7</v>
      </c>
      <c r="B8">
        <v>74885</v>
      </c>
      <c r="C8" s="2">
        <v>8.4</v>
      </c>
      <c r="D8" s="2">
        <v>50.87</v>
      </c>
      <c r="E8" s="2">
        <v>60.14</v>
      </c>
    </row>
    <row r="9" spans="1:11" x14ac:dyDescent="0.3">
      <c r="A9">
        <v>8</v>
      </c>
      <c r="B9">
        <v>73345</v>
      </c>
      <c r="C9" s="2">
        <v>7.9</v>
      </c>
      <c r="D9" s="2">
        <v>50.15</v>
      </c>
      <c r="E9" s="2">
        <v>60.08</v>
      </c>
      <c r="H9" s="5" t="s">
        <v>5</v>
      </c>
      <c r="I9" s="5"/>
    </row>
    <row r="10" spans="1:11" x14ac:dyDescent="0.3">
      <c r="A10">
        <v>9</v>
      </c>
      <c r="B10">
        <v>76659</v>
      </c>
      <c r="C10" s="2">
        <v>7.25</v>
      </c>
      <c r="D10" s="2">
        <v>48.24</v>
      </c>
      <c r="E10" s="2">
        <v>59.9</v>
      </c>
      <c r="H10" t="s">
        <v>6</v>
      </c>
      <c r="I10">
        <v>0.78675932103710255</v>
      </c>
    </row>
    <row r="11" spans="1:11" x14ac:dyDescent="0.3">
      <c r="A11">
        <v>10</v>
      </c>
      <c r="B11">
        <v>71880</v>
      </c>
      <c r="C11" s="2">
        <v>8.7000000000000011</v>
      </c>
      <c r="D11" s="2">
        <v>50.19</v>
      </c>
      <c r="E11" s="2">
        <v>59.68</v>
      </c>
      <c r="H11" s="6" t="s">
        <v>7</v>
      </c>
      <c r="I11" s="6">
        <v>0.61899022923876268</v>
      </c>
      <c r="K11" t="s">
        <v>42</v>
      </c>
    </row>
    <row r="12" spans="1:11" x14ac:dyDescent="0.3">
      <c r="A12">
        <v>11</v>
      </c>
      <c r="B12">
        <v>73598</v>
      </c>
      <c r="C12" s="2">
        <v>8.4</v>
      </c>
      <c r="D12" s="2">
        <v>51.11</v>
      </c>
      <c r="E12" s="2">
        <v>59.83</v>
      </c>
      <c r="H12" s="8" t="s">
        <v>8</v>
      </c>
      <c r="I12" s="8">
        <v>0.60167160329507008</v>
      </c>
      <c r="K12" t="s">
        <v>41</v>
      </c>
    </row>
    <row r="13" spans="1:11" x14ac:dyDescent="0.3">
      <c r="A13">
        <v>12</v>
      </c>
      <c r="B13">
        <v>74893</v>
      </c>
      <c r="C13" s="2">
        <v>8.1</v>
      </c>
      <c r="D13" s="2">
        <v>51.49</v>
      </c>
      <c r="E13" s="2">
        <v>59.77</v>
      </c>
      <c r="H13" t="s">
        <v>9</v>
      </c>
      <c r="I13">
        <v>1997.1526938260167</v>
      </c>
    </row>
    <row r="14" spans="1:11" ht="15" thickBot="1" x14ac:dyDescent="0.35">
      <c r="A14">
        <v>13</v>
      </c>
      <c r="B14">
        <v>69003</v>
      </c>
      <c r="C14" s="2">
        <v>8.4</v>
      </c>
      <c r="D14" s="2">
        <v>50.1</v>
      </c>
      <c r="E14" s="2">
        <v>59.29</v>
      </c>
      <c r="H14" s="3" t="s">
        <v>10</v>
      </c>
      <c r="I14" s="3">
        <v>24</v>
      </c>
    </row>
    <row r="15" spans="1:11" x14ac:dyDescent="0.3">
      <c r="A15">
        <v>14</v>
      </c>
      <c r="B15">
        <v>78542</v>
      </c>
      <c r="C15" s="2">
        <v>7.4</v>
      </c>
      <c r="D15" s="2">
        <v>49.24</v>
      </c>
      <c r="E15" s="2">
        <v>60.4</v>
      </c>
    </row>
    <row r="16" spans="1:11" ht="15" thickBot="1" x14ac:dyDescent="0.35">
      <c r="A16">
        <v>15</v>
      </c>
      <c r="B16">
        <v>72543</v>
      </c>
      <c r="C16" s="2">
        <v>8</v>
      </c>
      <c r="D16" s="2">
        <v>50.04</v>
      </c>
      <c r="E16" s="2">
        <v>59.89</v>
      </c>
      <c r="H16" t="s">
        <v>11</v>
      </c>
    </row>
    <row r="17" spans="1:16" x14ac:dyDescent="0.3">
      <c r="A17">
        <v>16</v>
      </c>
      <c r="B17">
        <v>74247</v>
      </c>
      <c r="C17" s="2">
        <v>8.3000000000000007</v>
      </c>
      <c r="D17" s="2">
        <v>49.46</v>
      </c>
      <c r="E17" s="2">
        <v>60.06</v>
      </c>
      <c r="H17" s="4"/>
      <c r="I17" s="4" t="s">
        <v>12</v>
      </c>
      <c r="J17" s="4" t="s">
        <v>13</v>
      </c>
      <c r="K17" s="4" t="s">
        <v>14</v>
      </c>
      <c r="L17" s="4" t="s">
        <v>15</v>
      </c>
      <c r="M17" s="4" t="s">
        <v>16</v>
      </c>
    </row>
    <row r="18" spans="1:16" x14ac:dyDescent="0.3">
      <c r="A18">
        <v>17</v>
      </c>
      <c r="B18">
        <v>76253</v>
      </c>
      <c r="C18" s="2">
        <v>8.1</v>
      </c>
      <c r="D18" s="2">
        <v>51.62</v>
      </c>
      <c r="E18" s="2">
        <v>60.51</v>
      </c>
      <c r="H18" t="s">
        <v>17</v>
      </c>
      <c r="I18">
        <v>1</v>
      </c>
      <c r="J18">
        <v>142558429.54429004</v>
      </c>
      <c r="K18">
        <v>142558429.54429004</v>
      </c>
      <c r="L18">
        <v>35.74130137409643</v>
      </c>
      <c r="M18">
        <v>5.1250702001991347E-6</v>
      </c>
    </row>
    <row r="19" spans="1:16" x14ac:dyDescent="0.3">
      <c r="A19">
        <v>18</v>
      </c>
      <c r="B19">
        <v>72582</v>
      </c>
      <c r="C19" s="2">
        <v>8.2000000000000011</v>
      </c>
      <c r="D19" s="2">
        <v>49.78</v>
      </c>
      <c r="E19" s="2">
        <v>58.93</v>
      </c>
      <c r="H19" t="s">
        <v>18</v>
      </c>
      <c r="I19">
        <v>22</v>
      </c>
      <c r="J19">
        <v>87749615.414043337</v>
      </c>
      <c r="K19">
        <v>3988618.8824565155</v>
      </c>
    </row>
    <row r="20" spans="1:16" ht="15" thickBot="1" x14ac:dyDescent="0.35">
      <c r="A20">
        <v>19</v>
      </c>
      <c r="B20">
        <v>69022</v>
      </c>
      <c r="C20" s="2">
        <v>8.99</v>
      </c>
      <c r="D20" s="2">
        <v>48.6</v>
      </c>
      <c r="E20" s="2">
        <v>60.09</v>
      </c>
      <c r="H20" s="3" t="s">
        <v>19</v>
      </c>
      <c r="I20" s="3">
        <v>23</v>
      </c>
      <c r="J20" s="3">
        <v>230308044.95833337</v>
      </c>
      <c r="K20" s="3"/>
      <c r="L20" s="3"/>
      <c r="M20" s="3"/>
    </row>
    <row r="21" spans="1:16" ht="15" thickBot="1" x14ac:dyDescent="0.35">
      <c r="A21">
        <v>20</v>
      </c>
      <c r="B21">
        <v>76200</v>
      </c>
      <c r="C21" s="2">
        <v>7.99</v>
      </c>
      <c r="D21" s="2">
        <v>49</v>
      </c>
      <c r="E21" s="2">
        <v>61</v>
      </c>
    </row>
    <row r="22" spans="1:16" x14ac:dyDescent="0.3">
      <c r="A22">
        <v>21</v>
      </c>
      <c r="B22">
        <v>69701</v>
      </c>
      <c r="C22" s="2">
        <v>8.5</v>
      </c>
      <c r="D22" s="2">
        <v>48</v>
      </c>
      <c r="E22" s="2">
        <v>59</v>
      </c>
      <c r="H22" s="4"/>
      <c r="I22" s="4" t="s">
        <v>20</v>
      </c>
      <c r="J22" s="4" t="s">
        <v>9</v>
      </c>
      <c r="K22" s="4" t="s">
        <v>21</v>
      </c>
      <c r="L22" s="4" t="s">
        <v>22</v>
      </c>
      <c r="M22" s="4" t="s">
        <v>23</v>
      </c>
      <c r="N22" s="4" t="s">
        <v>24</v>
      </c>
      <c r="O22" s="4" t="s">
        <v>25</v>
      </c>
      <c r="P22" s="4" t="s">
        <v>26</v>
      </c>
    </row>
    <row r="23" spans="1:16" x14ac:dyDescent="0.3">
      <c r="A23">
        <v>22</v>
      </c>
      <c r="B23">
        <v>77005</v>
      </c>
      <c r="C23" s="2">
        <v>7.9</v>
      </c>
      <c r="D23" s="2">
        <v>54</v>
      </c>
      <c r="E23" s="2">
        <v>59.5</v>
      </c>
      <c r="H23" t="s">
        <v>27</v>
      </c>
      <c r="I23">
        <v>114215.08110145092</v>
      </c>
      <c r="J23">
        <v>6695.9437991365921</v>
      </c>
      <c r="K23">
        <v>17.057353605055404</v>
      </c>
      <c r="L23">
        <v>3.6027918833382967E-14</v>
      </c>
      <c r="M23">
        <v>100328.54359222259</v>
      </c>
      <c r="N23">
        <v>128101.61861067926</v>
      </c>
      <c r="O23">
        <v>100328.54359222259</v>
      </c>
      <c r="P23">
        <v>128101.61861067926</v>
      </c>
    </row>
    <row r="24" spans="1:16" ht="15" thickBot="1" x14ac:dyDescent="0.35">
      <c r="A24">
        <v>23</v>
      </c>
      <c r="B24">
        <v>70987</v>
      </c>
      <c r="C24" s="2">
        <v>7.99</v>
      </c>
      <c r="D24" s="2">
        <v>48.7</v>
      </c>
      <c r="E24" s="2">
        <v>58</v>
      </c>
      <c r="H24" s="3" t="s">
        <v>2</v>
      </c>
      <c r="I24" s="3">
        <v>-4913.7269237283344</v>
      </c>
      <c r="J24" s="3">
        <v>821.91297514393898</v>
      </c>
      <c r="K24" s="3">
        <v>-5.9784029116559561</v>
      </c>
      <c r="L24" s="3">
        <v>5.1250702001991347E-6</v>
      </c>
      <c r="M24" s="3">
        <v>-6618.27010704022</v>
      </c>
      <c r="N24" s="3">
        <v>-3209.1837404164485</v>
      </c>
      <c r="O24" s="3">
        <v>-6618.27010704022</v>
      </c>
      <c r="P24" s="3">
        <v>-3209.1837404164485</v>
      </c>
    </row>
    <row r="25" spans="1:16" x14ac:dyDescent="0.3">
      <c r="A25">
        <v>24</v>
      </c>
      <c r="B25">
        <v>75643</v>
      </c>
      <c r="C25" s="2">
        <v>8.25</v>
      </c>
      <c r="D25" s="2">
        <v>50</v>
      </c>
      <c r="E25" s="2">
        <v>60.5</v>
      </c>
    </row>
    <row r="27" spans="1:16" ht="18" x14ac:dyDescent="0.35">
      <c r="C27" s="2"/>
      <c r="D27" s="2"/>
      <c r="E27" s="2"/>
      <c r="H27" s="7" t="s">
        <v>32</v>
      </c>
    </row>
    <row r="28" spans="1:16" ht="15" thickBot="1" x14ac:dyDescent="0.35">
      <c r="C28" s="2"/>
      <c r="D28" s="2"/>
      <c r="E28" s="2"/>
    </row>
    <row r="29" spans="1:16" x14ac:dyDescent="0.3">
      <c r="C29" s="2"/>
      <c r="D29" s="2"/>
      <c r="E29" s="2"/>
      <c r="H29" s="5" t="s">
        <v>5</v>
      </c>
      <c r="I29" s="5"/>
    </row>
    <row r="30" spans="1:16" x14ac:dyDescent="0.3">
      <c r="H30" t="s">
        <v>6</v>
      </c>
      <c r="I30">
        <v>0.84275968261045708</v>
      </c>
    </row>
    <row r="31" spans="1:16" x14ac:dyDescent="0.3">
      <c r="H31" s="6" t="s">
        <v>7</v>
      </c>
      <c r="I31" s="6">
        <v>0.71024388263367844</v>
      </c>
      <c r="K31" t="s">
        <v>42</v>
      </c>
    </row>
    <row r="32" spans="1:16" x14ac:dyDescent="0.3">
      <c r="H32" s="8" t="s">
        <v>8</v>
      </c>
      <c r="I32" s="8">
        <v>0.68264806193212402</v>
      </c>
      <c r="K32" t="s">
        <v>41</v>
      </c>
    </row>
    <row r="33" spans="8:16" x14ac:dyDescent="0.3">
      <c r="H33" t="s">
        <v>9</v>
      </c>
      <c r="I33">
        <v>1782.6300113590182</v>
      </c>
    </row>
    <row r="34" spans="8:16" ht="15" thickBot="1" x14ac:dyDescent="0.35">
      <c r="H34" s="3" t="s">
        <v>10</v>
      </c>
      <c r="I34" s="3">
        <v>24</v>
      </c>
    </row>
    <row r="36" spans="8:16" ht="15" thickBot="1" x14ac:dyDescent="0.35">
      <c r="H36" t="s">
        <v>11</v>
      </c>
    </row>
    <row r="37" spans="8:16" x14ac:dyDescent="0.3">
      <c r="H37" s="4"/>
      <c r="I37" s="4" t="s">
        <v>12</v>
      </c>
      <c r="J37" s="4" t="s">
        <v>13</v>
      </c>
      <c r="K37" s="4" t="s">
        <v>14</v>
      </c>
      <c r="L37" s="4" t="s">
        <v>15</v>
      </c>
      <c r="M37" s="4" t="s">
        <v>16</v>
      </c>
    </row>
    <row r="38" spans="8:16" x14ac:dyDescent="0.3">
      <c r="H38" t="s">
        <v>17</v>
      </c>
      <c r="I38">
        <v>2</v>
      </c>
      <c r="J38">
        <v>163574880.05297846</v>
      </c>
      <c r="K38">
        <v>81787440.026489228</v>
      </c>
      <c r="L38">
        <v>25.737371260484785</v>
      </c>
      <c r="M38">
        <v>2.2456519312444806E-6</v>
      </c>
    </row>
    <row r="39" spans="8:16" x14ac:dyDescent="0.3">
      <c r="H39" t="s">
        <v>18</v>
      </c>
      <c r="I39">
        <v>21</v>
      </c>
      <c r="J39">
        <v>66733164.905354924</v>
      </c>
      <c r="K39">
        <v>3177769.7573978538</v>
      </c>
    </row>
    <row r="40" spans="8:16" ht="15" thickBot="1" x14ac:dyDescent="0.35">
      <c r="H40" s="3" t="s">
        <v>19</v>
      </c>
      <c r="I40" s="3">
        <v>23</v>
      </c>
      <c r="J40" s="3">
        <v>230308044.95833337</v>
      </c>
      <c r="K40" s="3"/>
      <c r="L40" s="3"/>
      <c r="M40" s="3"/>
    </row>
    <row r="41" spans="8:16" ht="15" thickBot="1" x14ac:dyDescent="0.35"/>
    <row r="42" spans="8:16" x14ac:dyDescent="0.3">
      <c r="H42" s="4"/>
      <c r="I42" s="4" t="s">
        <v>20</v>
      </c>
      <c r="J42" s="4" t="s">
        <v>9</v>
      </c>
      <c r="K42" s="4" t="s">
        <v>21</v>
      </c>
      <c r="L42" s="4" t="s">
        <v>22</v>
      </c>
      <c r="M42" s="4" t="s">
        <v>23</v>
      </c>
      <c r="N42" s="4" t="s">
        <v>24</v>
      </c>
      <c r="O42" s="4" t="s">
        <v>25</v>
      </c>
      <c r="P42" s="4" t="s">
        <v>26</v>
      </c>
    </row>
    <row r="43" spans="8:16" x14ac:dyDescent="0.3">
      <c r="H43" t="s">
        <v>27</v>
      </c>
      <c r="I43">
        <v>76362.412243945015</v>
      </c>
      <c r="J43">
        <v>15886.147451469271</v>
      </c>
      <c r="K43">
        <v>4.8068553107180456</v>
      </c>
      <c r="L43">
        <v>9.4690418827058663E-5</v>
      </c>
      <c r="M43">
        <v>43325.360064484172</v>
      </c>
      <c r="N43">
        <v>109399.46442340585</v>
      </c>
      <c r="O43">
        <v>43325.360064484172</v>
      </c>
      <c r="P43">
        <v>109399.46442340585</v>
      </c>
    </row>
    <row r="44" spans="8:16" x14ac:dyDescent="0.3">
      <c r="H44" t="s">
        <v>2</v>
      </c>
      <c r="I44">
        <v>-4869.233307713137</v>
      </c>
      <c r="J44">
        <v>733.83178181048629</v>
      </c>
      <c r="K44">
        <v>-6.6353535352474386</v>
      </c>
      <c r="L44">
        <v>1.4370955697753069E-6</v>
      </c>
      <c r="M44">
        <v>-6395.3200408674065</v>
      </c>
      <c r="N44">
        <v>-3343.1465745588675</v>
      </c>
      <c r="O44">
        <v>-6395.3200408674065</v>
      </c>
      <c r="P44">
        <v>-3343.1465745588675</v>
      </c>
    </row>
    <row r="45" spans="8:16" ht="15" thickBot="1" x14ac:dyDescent="0.35">
      <c r="H45" s="3" t="s">
        <v>3</v>
      </c>
      <c r="I45" s="3">
        <v>747.52482260951058</v>
      </c>
      <c r="J45" s="3">
        <v>290.67464294977862</v>
      </c>
      <c r="K45" s="3">
        <v>2.5716891402139415</v>
      </c>
      <c r="L45" s="3">
        <v>1.7783172293803204E-2</v>
      </c>
      <c r="M45" s="3">
        <v>143.03381081987584</v>
      </c>
      <c r="N45" s="3">
        <v>1352.0158343991452</v>
      </c>
      <c r="O45" s="3">
        <v>143.03381081987584</v>
      </c>
      <c r="P45" s="3">
        <v>1352.0158343991452</v>
      </c>
    </row>
    <row r="50" spans="8:13" ht="18" x14ac:dyDescent="0.35">
      <c r="H50" s="7" t="s">
        <v>31</v>
      </c>
    </row>
    <row r="51" spans="8:13" ht="15" thickBot="1" x14ac:dyDescent="0.35"/>
    <row r="52" spans="8:13" x14ac:dyDescent="0.3">
      <c r="H52" s="5" t="s">
        <v>5</v>
      </c>
      <c r="I52" s="5"/>
    </row>
    <row r="53" spans="8:13" x14ac:dyDescent="0.3">
      <c r="H53" t="s">
        <v>6</v>
      </c>
      <c r="I53">
        <v>0.9267387185932412</v>
      </c>
    </row>
    <row r="54" spans="8:13" x14ac:dyDescent="0.3">
      <c r="H54" s="6" t="s">
        <v>7</v>
      </c>
      <c r="I54" s="6">
        <v>0.85884465253984277</v>
      </c>
      <c r="K54" t="s">
        <v>42</v>
      </c>
    </row>
    <row r="55" spans="8:13" x14ac:dyDescent="0.3">
      <c r="H55" s="8" t="s">
        <v>8</v>
      </c>
      <c r="I55" s="8">
        <v>0.83767135042081919</v>
      </c>
      <c r="K55" t="s">
        <v>41</v>
      </c>
    </row>
    <row r="56" spans="8:13" x14ac:dyDescent="0.3">
      <c r="H56" t="s">
        <v>9</v>
      </c>
      <c r="I56">
        <v>1274.9355299183383</v>
      </c>
    </row>
    <row r="57" spans="8:13" ht="15" thickBot="1" x14ac:dyDescent="0.35">
      <c r="H57" s="3" t="s">
        <v>10</v>
      </c>
      <c r="I57" s="3">
        <v>24</v>
      </c>
    </row>
    <row r="59" spans="8:13" ht="15" thickBot="1" x14ac:dyDescent="0.35">
      <c r="H59" t="s">
        <v>11</v>
      </c>
    </row>
    <row r="60" spans="8:13" x14ac:dyDescent="0.3">
      <c r="H60" s="4"/>
      <c r="I60" s="4" t="s">
        <v>12</v>
      </c>
      <c r="J60" s="4" t="s">
        <v>13</v>
      </c>
      <c r="K60" s="4" t="s">
        <v>14</v>
      </c>
      <c r="L60" s="4" t="s">
        <v>15</v>
      </c>
      <c r="M60" s="4" t="s">
        <v>16</v>
      </c>
    </row>
    <row r="61" spans="8:13" x14ac:dyDescent="0.3">
      <c r="H61" t="s">
        <v>17</v>
      </c>
      <c r="I61">
        <v>3</v>
      </c>
      <c r="J61">
        <v>197798832.8493703</v>
      </c>
      <c r="K61">
        <v>65932944.283123434</v>
      </c>
      <c r="L61">
        <v>40.56262210362528</v>
      </c>
      <c r="M61">
        <v>1.0848241924601749E-8</v>
      </c>
    </row>
    <row r="62" spans="8:13" x14ac:dyDescent="0.3">
      <c r="H62" t="s">
        <v>18</v>
      </c>
      <c r="I62">
        <v>20</v>
      </c>
      <c r="J62">
        <v>32509212.108963087</v>
      </c>
      <c r="K62">
        <v>1625460.6054481543</v>
      </c>
    </row>
    <row r="63" spans="8:13" ht="15" thickBot="1" x14ac:dyDescent="0.35">
      <c r="H63" s="3" t="s">
        <v>19</v>
      </c>
      <c r="I63" s="3">
        <v>23</v>
      </c>
      <c r="J63" s="3">
        <v>230308044.95833337</v>
      </c>
      <c r="K63" s="3"/>
      <c r="L63" s="3"/>
      <c r="M63" s="3"/>
    </row>
    <row r="64" spans="8:13" ht="15" thickBot="1" x14ac:dyDescent="0.35"/>
    <row r="65" spans="8:16" x14ac:dyDescent="0.3">
      <c r="H65" s="4"/>
      <c r="I65" s="4" t="s">
        <v>20</v>
      </c>
      <c r="J65" s="4" t="s">
        <v>9</v>
      </c>
      <c r="K65" s="4" t="s">
        <v>21</v>
      </c>
      <c r="L65" s="4" t="s">
        <v>22</v>
      </c>
      <c r="M65" s="4" t="s">
        <v>23</v>
      </c>
      <c r="N65" s="4" t="s">
        <v>24</v>
      </c>
      <c r="O65" s="4" t="s">
        <v>25</v>
      </c>
      <c r="P65" s="4" t="s">
        <v>26</v>
      </c>
    </row>
    <row r="66" spans="8:16" x14ac:dyDescent="0.3">
      <c r="H66" t="s">
        <v>27</v>
      </c>
      <c r="I66">
        <v>-25096.83292187014</v>
      </c>
      <c r="J66">
        <v>24859.611309125165</v>
      </c>
      <c r="K66">
        <v>-1.0095424505956736</v>
      </c>
      <c r="L66">
        <v>0.3247731563783578</v>
      </c>
      <c r="M66">
        <v>-76953.073425942348</v>
      </c>
      <c r="N66">
        <v>26759.407582202068</v>
      </c>
      <c r="O66">
        <v>-76953.073425942348</v>
      </c>
      <c r="P66">
        <v>26759.407582202068</v>
      </c>
    </row>
    <row r="67" spans="8:16" x14ac:dyDescent="0.3">
      <c r="H67" t="s">
        <v>2</v>
      </c>
      <c r="I67">
        <v>-5055.2698659208454</v>
      </c>
      <c r="J67">
        <v>526.39955369758263</v>
      </c>
      <c r="K67">
        <v>-9.603484331267321</v>
      </c>
      <c r="L67">
        <v>6.2195445077898593E-9</v>
      </c>
      <c r="M67">
        <v>-6153.3200935910681</v>
      </c>
      <c r="N67">
        <v>-3957.2196382506231</v>
      </c>
      <c r="O67">
        <v>-6153.3200935910681</v>
      </c>
      <c r="P67">
        <v>-3957.2196382506231</v>
      </c>
    </row>
    <row r="68" spans="8:16" x14ac:dyDescent="0.3">
      <c r="H68" t="s">
        <v>3</v>
      </c>
      <c r="I68">
        <v>648.61214025972174</v>
      </c>
      <c r="J68">
        <v>209.0048787092347</v>
      </c>
      <c r="K68">
        <v>3.10333492818636</v>
      </c>
      <c r="L68">
        <v>5.6023444867755188E-3</v>
      </c>
      <c r="M68">
        <v>212.63560297202258</v>
      </c>
      <c r="N68">
        <v>1084.588677547421</v>
      </c>
      <c r="O68">
        <v>212.63560297202258</v>
      </c>
      <c r="P68">
        <v>1084.588677547421</v>
      </c>
    </row>
    <row r="69" spans="8:16" ht="15" thickBot="1" x14ac:dyDescent="0.35">
      <c r="H69" s="3" t="s">
        <v>4</v>
      </c>
      <c r="I69" s="3">
        <v>1802.6109561246008</v>
      </c>
      <c r="J69" s="3">
        <v>392.84854270927622</v>
      </c>
      <c r="K69" s="3">
        <v>4.5885647015333477</v>
      </c>
      <c r="L69" s="3">
        <v>1.7801627164016712E-4</v>
      </c>
      <c r="M69" s="3">
        <v>983.14325572138762</v>
      </c>
      <c r="N69" s="3">
        <v>2622.078656527814</v>
      </c>
      <c r="O69" s="3">
        <v>983.14325572138762</v>
      </c>
      <c r="P69" s="3">
        <v>2622.078656527814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1897A-F273-4085-A62A-319C6F3EB4E5}">
  <dimension ref="A1:P67"/>
  <sheetViews>
    <sheetView zoomScale="150" zoomScaleNormal="150" workbookViewId="0">
      <selection activeCell="K52" sqref="K52:K53"/>
    </sheetView>
  </sheetViews>
  <sheetFormatPr defaultRowHeight="14.4" x14ac:dyDescent="0.3"/>
  <cols>
    <col min="2" max="2" width="11.21875" customWidth="1"/>
    <col min="3" max="3" width="10.109375" customWidth="1"/>
    <col min="4" max="4" width="15.109375" customWidth="1"/>
    <col min="5" max="5" width="16.44140625" customWidth="1"/>
    <col min="7" max="7" width="14.44140625" customWidth="1"/>
    <col min="8" max="8" width="23.109375" customWidth="1"/>
    <col min="9" max="9" width="12.77734375" customWidth="1"/>
    <col min="10" max="10" width="9.88671875" customWidth="1"/>
    <col min="11" max="11" width="9.44140625" customWidth="1"/>
    <col min="12" max="13" width="10.21875" customWidth="1"/>
    <col min="14" max="14" width="11.44140625" customWidth="1"/>
    <col min="15" max="15" width="11.5546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3" x14ac:dyDescent="0.3">
      <c r="A2">
        <v>1</v>
      </c>
      <c r="B2">
        <v>73959</v>
      </c>
      <c r="C2" s="2">
        <v>8.75</v>
      </c>
      <c r="D2" s="2">
        <v>50.04</v>
      </c>
      <c r="E2" s="2">
        <v>61.13</v>
      </c>
    </row>
    <row r="3" spans="1:13" x14ac:dyDescent="0.3">
      <c r="A3">
        <v>2</v>
      </c>
      <c r="B3">
        <v>71544</v>
      </c>
      <c r="C3" s="2">
        <v>8.99</v>
      </c>
      <c r="D3" s="2">
        <v>50.74</v>
      </c>
      <c r="E3" s="2">
        <v>60.19</v>
      </c>
    </row>
    <row r="4" spans="1:13" x14ac:dyDescent="0.3">
      <c r="A4">
        <v>3</v>
      </c>
      <c r="B4">
        <v>78587</v>
      </c>
      <c r="C4" s="2">
        <v>7.5</v>
      </c>
      <c r="D4" s="2">
        <v>50.14</v>
      </c>
      <c r="E4" s="2">
        <v>59.16</v>
      </c>
    </row>
    <row r="5" spans="1:13" x14ac:dyDescent="0.3">
      <c r="A5">
        <v>4</v>
      </c>
      <c r="B5">
        <v>80364</v>
      </c>
      <c r="C5" s="2">
        <v>7.25</v>
      </c>
      <c r="D5" s="2">
        <v>50.27</v>
      </c>
      <c r="E5" s="2">
        <v>60.38</v>
      </c>
    </row>
    <row r="6" spans="1:13" ht="18" x14ac:dyDescent="0.35">
      <c r="A6">
        <v>5</v>
      </c>
      <c r="B6">
        <v>78771</v>
      </c>
      <c r="C6" s="2">
        <v>7.4</v>
      </c>
      <c r="D6" s="2">
        <v>51.25</v>
      </c>
      <c r="E6" s="2">
        <v>59.71</v>
      </c>
      <c r="H6" s="7" t="s">
        <v>29</v>
      </c>
    </row>
    <row r="7" spans="1:13" ht="15" thickBot="1" x14ac:dyDescent="0.35">
      <c r="A7">
        <v>6</v>
      </c>
      <c r="B7">
        <v>71986</v>
      </c>
      <c r="C7" s="2">
        <v>8.5</v>
      </c>
      <c r="D7" s="2">
        <v>50.65</v>
      </c>
      <c r="E7" s="2">
        <v>59.88</v>
      </c>
    </row>
    <row r="8" spans="1:13" x14ac:dyDescent="0.3">
      <c r="A8">
        <v>7</v>
      </c>
      <c r="B8">
        <v>74885</v>
      </c>
      <c r="C8" s="2">
        <v>8.4</v>
      </c>
      <c r="D8" s="2">
        <v>50.87</v>
      </c>
      <c r="E8" s="2">
        <v>60.14</v>
      </c>
      <c r="H8" s="5" t="s">
        <v>5</v>
      </c>
      <c r="I8" s="5"/>
    </row>
    <row r="9" spans="1:13" x14ac:dyDescent="0.3">
      <c r="A9">
        <v>8</v>
      </c>
      <c r="B9">
        <v>73345</v>
      </c>
      <c r="C9" s="2">
        <v>7.9</v>
      </c>
      <c r="D9" s="2">
        <v>50.15</v>
      </c>
      <c r="E9" s="2">
        <v>60.08</v>
      </c>
      <c r="H9" t="s">
        <v>6</v>
      </c>
      <c r="I9">
        <v>0.3550499460046071</v>
      </c>
    </row>
    <row r="10" spans="1:13" x14ac:dyDescent="0.3">
      <c r="A10">
        <v>9</v>
      </c>
      <c r="B10">
        <v>76659</v>
      </c>
      <c r="C10" s="2">
        <v>7.25</v>
      </c>
      <c r="D10" s="2">
        <v>48.24</v>
      </c>
      <c r="E10" s="2">
        <v>59.9</v>
      </c>
      <c r="H10" s="6" t="s">
        <v>7</v>
      </c>
      <c r="I10" s="6">
        <v>0.12606046415787442</v>
      </c>
      <c r="K10" t="s">
        <v>42</v>
      </c>
    </row>
    <row r="11" spans="1:13" x14ac:dyDescent="0.3">
      <c r="A11">
        <v>10</v>
      </c>
      <c r="B11">
        <v>71880</v>
      </c>
      <c r="C11" s="2">
        <v>8.7000000000000011</v>
      </c>
      <c r="D11" s="2">
        <v>50.19</v>
      </c>
      <c r="E11" s="2">
        <v>59.68</v>
      </c>
      <c r="H11" s="8" t="s">
        <v>8</v>
      </c>
      <c r="I11" s="8">
        <v>8.6335939801414158E-2</v>
      </c>
      <c r="K11" t="s">
        <v>41</v>
      </c>
    </row>
    <row r="12" spans="1:13" x14ac:dyDescent="0.3">
      <c r="A12">
        <v>11</v>
      </c>
      <c r="B12">
        <v>73598</v>
      </c>
      <c r="C12" s="2">
        <v>8.4</v>
      </c>
      <c r="D12" s="2">
        <v>51.11</v>
      </c>
      <c r="E12" s="2">
        <v>59.83</v>
      </c>
      <c r="H12" t="s">
        <v>9</v>
      </c>
      <c r="I12">
        <v>3024.7111500829392</v>
      </c>
    </row>
    <row r="13" spans="1:13" ht="15" thickBot="1" x14ac:dyDescent="0.35">
      <c r="A13">
        <v>12</v>
      </c>
      <c r="B13">
        <v>74893</v>
      </c>
      <c r="C13" s="2">
        <v>8.1</v>
      </c>
      <c r="D13" s="2">
        <v>51.49</v>
      </c>
      <c r="E13" s="2">
        <v>59.77</v>
      </c>
      <c r="H13" s="3" t="s">
        <v>10</v>
      </c>
      <c r="I13" s="3">
        <v>24</v>
      </c>
    </row>
    <row r="14" spans="1:13" x14ac:dyDescent="0.3">
      <c r="A14">
        <v>13</v>
      </c>
      <c r="B14">
        <v>69003</v>
      </c>
      <c r="C14" s="2">
        <v>8.4</v>
      </c>
      <c r="D14" s="2">
        <v>50.1</v>
      </c>
      <c r="E14" s="2">
        <v>59.29</v>
      </c>
    </row>
    <row r="15" spans="1:13" ht="15" thickBot="1" x14ac:dyDescent="0.35">
      <c r="A15">
        <v>14</v>
      </c>
      <c r="B15">
        <v>78542</v>
      </c>
      <c r="C15" s="2">
        <v>7.4</v>
      </c>
      <c r="D15" s="2">
        <v>49.24</v>
      </c>
      <c r="E15" s="2">
        <v>60.4</v>
      </c>
      <c r="H15" t="s">
        <v>11</v>
      </c>
    </row>
    <row r="16" spans="1:13" x14ac:dyDescent="0.3">
      <c r="A16">
        <v>15</v>
      </c>
      <c r="B16">
        <v>72543</v>
      </c>
      <c r="C16" s="2">
        <v>8</v>
      </c>
      <c r="D16" s="2">
        <v>50.04</v>
      </c>
      <c r="E16" s="2">
        <v>59.89</v>
      </c>
      <c r="H16" s="4"/>
      <c r="I16" s="4" t="s">
        <v>12</v>
      </c>
      <c r="J16" s="4" t="s">
        <v>13</v>
      </c>
      <c r="K16" s="4" t="s">
        <v>14</v>
      </c>
      <c r="L16" s="4" t="s">
        <v>15</v>
      </c>
      <c r="M16" s="4" t="s">
        <v>16</v>
      </c>
    </row>
    <row r="17" spans="1:16" x14ac:dyDescent="0.3">
      <c r="A17">
        <v>16</v>
      </c>
      <c r="B17">
        <v>74247</v>
      </c>
      <c r="C17" s="2">
        <v>8.3000000000000007</v>
      </c>
      <c r="D17" s="2">
        <v>49.46</v>
      </c>
      <c r="E17" s="2">
        <v>60.06</v>
      </c>
      <c r="H17" t="s">
        <v>17</v>
      </c>
      <c r="I17">
        <v>1</v>
      </c>
      <c r="J17">
        <v>29032739.046740115</v>
      </c>
      <c r="K17">
        <v>29032739.046740115</v>
      </c>
      <c r="L17">
        <v>3.1733662315675697</v>
      </c>
      <c r="M17">
        <v>8.8660058070556463E-2</v>
      </c>
    </row>
    <row r="18" spans="1:16" x14ac:dyDescent="0.3">
      <c r="A18">
        <v>17</v>
      </c>
      <c r="B18">
        <v>76253</v>
      </c>
      <c r="C18" s="2">
        <v>8.1</v>
      </c>
      <c r="D18" s="2">
        <v>51.62</v>
      </c>
      <c r="E18" s="2">
        <v>60.51</v>
      </c>
      <c r="H18" t="s">
        <v>18</v>
      </c>
      <c r="I18">
        <v>22</v>
      </c>
      <c r="J18">
        <v>201275305.91159326</v>
      </c>
      <c r="K18">
        <v>9148877.5414360575</v>
      </c>
    </row>
    <row r="19" spans="1:16" ht="15" thickBot="1" x14ac:dyDescent="0.35">
      <c r="A19">
        <v>18</v>
      </c>
      <c r="B19">
        <v>72582</v>
      </c>
      <c r="C19" s="2">
        <v>8.2000000000000011</v>
      </c>
      <c r="D19" s="2">
        <v>49.78</v>
      </c>
      <c r="E19" s="2">
        <v>58.93</v>
      </c>
      <c r="H19" s="3" t="s">
        <v>19</v>
      </c>
      <c r="I19" s="3">
        <v>23</v>
      </c>
      <c r="J19" s="3">
        <v>230308044.95833337</v>
      </c>
      <c r="K19" s="3"/>
      <c r="L19" s="3"/>
      <c r="M19" s="3"/>
    </row>
    <row r="20" spans="1:16" ht="15" thickBot="1" x14ac:dyDescent="0.35">
      <c r="A20">
        <v>19</v>
      </c>
      <c r="B20">
        <v>69022</v>
      </c>
      <c r="C20" s="2">
        <v>8.99</v>
      </c>
      <c r="D20" s="2">
        <v>48.6</v>
      </c>
      <c r="E20" s="2">
        <v>60.09</v>
      </c>
    </row>
    <row r="21" spans="1:16" x14ac:dyDescent="0.3">
      <c r="A21">
        <v>20</v>
      </c>
      <c r="B21">
        <v>76200</v>
      </c>
      <c r="C21" s="2">
        <v>7.99</v>
      </c>
      <c r="D21" s="2">
        <v>49</v>
      </c>
      <c r="E21" s="2">
        <v>61</v>
      </c>
      <c r="H21" s="4"/>
      <c r="I21" s="4" t="s">
        <v>20</v>
      </c>
      <c r="J21" s="4" t="s">
        <v>9</v>
      </c>
      <c r="K21" s="4" t="s">
        <v>21</v>
      </c>
      <c r="L21" s="4" t="s">
        <v>22</v>
      </c>
      <c r="M21" s="4" t="s">
        <v>23</v>
      </c>
      <c r="N21" s="4" t="s">
        <v>24</v>
      </c>
      <c r="O21" s="4" t="s">
        <v>25</v>
      </c>
      <c r="P21" s="4" t="s">
        <v>26</v>
      </c>
    </row>
    <row r="22" spans="1:16" x14ac:dyDescent="0.3">
      <c r="A22">
        <v>21</v>
      </c>
      <c r="B22">
        <v>69701</v>
      </c>
      <c r="C22" s="2">
        <v>8.5</v>
      </c>
      <c r="D22" s="2">
        <v>48</v>
      </c>
      <c r="E22" s="2">
        <v>59</v>
      </c>
      <c r="H22" t="s">
        <v>27</v>
      </c>
      <c r="I22">
        <v>-24349.377297107698</v>
      </c>
      <c r="J22">
        <v>55357.645222253348</v>
      </c>
      <c r="K22">
        <v>-0.43985572723240468</v>
      </c>
      <c r="L22">
        <v>0.66433242094095446</v>
      </c>
      <c r="M22">
        <v>-139154.10682612489</v>
      </c>
      <c r="N22">
        <v>90455.352231909492</v>
      </c>
      <c r="O22">
        <v>-139154.10682612489</v>
      </c>
      <c r="P22">
        <v>90455.352231909492</v>
      </c>
    </row>
    <row r="23" spans="1:16" ht="15" thickBot="1" x14ac:dyDescent="0.35">
      <c r="A23">
        <v>22</v>
      </c>
      <c r="B23">
        <v>77005</v>
      </c>
      <c r="C23" s="2">
        <v>7.9</v>
      </c>
      <c r="D23" s="2">
        <v>54</v>
      </c>
      <c r="E23" s="2">
        <v>59.5</v>
      </c>
      <c r="H23" s="3" t="s">
        <v>4</v>
      </c>
      <c r="I23" s="3">
        <v>1646.8692538242929</v>
      </c>
      <c r="J23" s="3">
        <v>924.48320029718229</v>
      </c>
      <c r="K23" s="3">
        <v>1.7813944626521001</v>
      </c>
      <c r="L23" s="3">
        <v>8.8660058070556783E-2</v>
      </c>
      <c r="M23" s="3">
        <v>-270.39155700175661</v>
      </c>
      <c r="N23" s="3">
        <v>3564.1300646503423</v>
      </c>
      <c r="O23" s="3">
        <v>-270.39155700175661</v>
      </c>
      <c r="P23" s="3">
        <v>3564.1300646503423</v>
      </c>
    </row>
    <row r="24" spans="1:16" x14ac:dyDescent="0.3">
      <c r="A24">
        <v>23</v>
      </c>
      <c r="B24">
        <v>70987</v>
      </c>
      <c r="C24" s="2">
        <v>7.99</v>
      </c>
      <c r="D24" s="2">
        <v>48.7</v>
      </c>
      <c r="E24" s="2">
        <v>58</v>
      </c>
    </row>
    <row r="25" spans="1:16" x14ac:dyDescent="0.3">
      <c r="A25">
        <v>24</v>
      </c>
      <c r="B25">
        <v>75643</v>
      </c>
      <c r="C25" s="2">
        <v>8.25</v>
      </c>
      <c r="D25" s="2">
        <v>50</v>
      </c>
      <c r="E25" s="2">
        <v>60.5</v>
      </c>
    </row>
    <row r="27" spans="1:16" ht="18" x14ac:dyDescent="0.35">
      <c r="C27" s="2"/>
      <c r="D27" s="2"/>
      <c r="E27" s="2"/>
      <c r="H27" s="7" t="s">
        <v>30</v>
      </c>
    </row>
    <row r="28" spans="1:16" ht="15" thickBot="1" x14ac:dyDescent="0.35">
      <c r="C28" s="2"/>
      <c r="D28" s="2"/>
      <c r="E28" s="2"/>
    </row>
    <row r="29" spans="1:16" x14ac:dyDescent="0.3">
      <c r="C29" s="2"/>
      <c r="D29" s="2"/>
      <c r="E29" s="2"/>
      <c r="H29" s="5" t="s">
        <v>5</v>
      </c>
      <c r="I29" s="5"/>
    </row>
    <row r="30" spans="1:16" x14ac:dyDescent="0.3">
      <c r="H30" t="s">
        <v>6</v>
      </c>
      <c r="I30">
        <v>0.45599184975949031</v>
      </c>
    </row>
    <row r="31" spans="1:16" x14ac:dyDescent="0.3">
      <c r="H31" s="6" t="s">
        <v>7</v>
      </c>
      <c r="I31" s="6">
        <v>0.2079285670470816</v>
      </c>
      <c r="K31" t="s">
        <v>42</v>
      </c>
    </row>
    <row r="32" spans="1:16" x14ac:dyDescent="0.3">
      <c r="H32" s="8" t="s">
        <v>8</v>
      </c>
      <c r="I32" s="8">
        <v>0.132493192480137</v>
      </c>
      <c r="K32" t="s">
        <v>41</v>
      </c>
    </row>
    <row r="33" spans="8:16" x14ac:dyDescent="0.3">
      <c r="H33" t="s">
        <v>9</v>
      </c>
      <c r="I33">
        <v>2947.3185811184881</v>
      </c>
    </row>
    <row r="34" spans="8:16" ht="15" thickBot="1" x14ac:dyDescent="0.35">
      <c r="H34" s="3" t="s">
        <v>10</v>
      </c>
      <c r="I34" s="3">
        <v>24</v>
      </c>
    </row>
    <row r="36" spans="8:16" ht="15" thickBot="1" x14ac:dyDescent="0.35">
      <c r="H36" t="s">
        <v>11</v>
      </c>
    </row>
    <row r="37" spans="8:16" x14ac:dyDescent="0.3">
      <c r="H37" s="4"/>
      <c r="I37" s="4" t="s">
        <v>12</v>
      </c>
      <c r="J37" s="4" t="s">
        <v>13</v>
      </c>
      <c r="K37" s="4" t="s">
        <v>14</v>
      </c>
      <c r="L37" s="4" t="s">
        <v>15</v>
      </c>
      <c r="M37" s="4" t="s">
        <v>16</v>
      </c>
    </row>
    <row r="38" spans="8:16" x14ac:dyDescent="0.3">
      <c r="H38" t="s">
        <v>17</v>
      </c>
      <c r="I38">
        <v>2</v>
      </c>
      <c r="J38">
        <v>47887621.767601103</v>
      </c>
      <c r="K38">
        <v>23943810.883800551</v>
      </c>
      <c r="L38">
        <v>2.7563801232610943</v>
      </c>
      <c r="M38">
        <v>8.6501906036658541E-2</v>
      </c>
    </row>
    <row r="39" spans="8:16" x14ac:dyDescent="0.3">
      <c r="H39" t="s">
        <v>18</v>
      </c>
      <c r="I39">
        <v>21</v>
      </c>
      <c r="J39">
        <v>182420423.19073227</v>
      </c>
      <c r="K39">
        <v>8686686.8186062984</v>
      </c>
    </row>
    <row r="40" spans="8:16" ht="15" thickBot="1" x14ac:dyDescent="0.35">
      <c r="H40" s="3" t="s">
        <v>19</v>
      </c>
      <c r="I40" s="3">
        <v>23</v>
      </c>
      <c r="J40" s="3">
        <v>230308044.95833337</v>
      </c>
      <c r="K40" s="3"/>
      <c r="L40" s="3"/>
      <c r="M40" s="3"/>
    </row>
    <row r="41" spans="8:16" ht="15" thickBot="1" x14ac:dyDescent="0.35"/>
    <row r="42" spans="8:16" x14ac:dyDescent="0.3">
      <c r="H42" s="4"/>
      <c r="I42" s="4" t="s">
        <v>20</v>
      </c>
      <c r="J42" s="4" t="s">
        <v>9</v>
      </c>
      <c r="K42" s="4" t="s">
        <v>21</v>
      </c>
      <c r="L42" s="4" t="s">
        <v>22</v>
      </c>
      <c r="M42" s="4" t="s">
        <v>23</v>
      </c>
      <c r="N42" s="4" t="s">
        <v>24</v>
      </c>
      <c r="O42" s="4" t="s">
        <v>25</v>
      </c>
      <c r="P42" s="4" t="s">
        <v>26</v>
      </c>
    </row>
    <row r="43" spans="8:16" x14ac:dyDescent="0.3">
      <c r="H43" t="s">
        <v>27</v>
      </c>
      <c r="I43">
        <v>-51959.496786448064</v>
      </c>
      <c r="J43">
        <v>57103.988300479199</v>
      </c>
      <c r="K43">
        <v>-0.90991011894018681</v>
      </c>
      <c r="L43">
        <v>0.37319580281532194</v>
      </c>
      <c r="M43">
        <v>-170713.74144529208</v>
      </c>
      <c r="N43">
        <v>66794.747872395936</v>
      </c>
      <c r="O43">
        <v>-170713.74144529208</v>
      </c>
      <c r="P43">
        <v>66794.747872395936</v>
      </c>
    </row>
    <row r="44" spans="8:16" x14ac:dyDescent="0.3">
      <c r="H44" t="s">
        <v>3</v>
      </c>
      <c r="I44">
        <v>711.48694454760812</v>
      </c>
      <c r="J44">
        <v>482.9276813056253</v>
      </c>
      <c r="K44">
        <v>1.4732784474562703</v>
      </c>
      <c r="L44">
        <v>0.15550792018396942</v>
      </c>
      <c r="M44">
        <v>-292.81614749780704</v>
      </c>
      <c r="N44">
        <v>1715.7900365930232</v>
      </c>
      <c r="O44">
        <v>-292.81614749780704</v>
      </c>
      <c r="P44">
        <v>1715.7900365930232</v>
      </c>
    </row>
    <row r="45" spans="8:16" ht="15" thickBot="1" x14ac:dyDescent="0.35">
      <c r="H45" s="3" t="s">
        <v>4</v>
      </c>
      <c r="I45" s="3">
        <v>1512.0348481313335</v>
      </c>
      <c r="J45" s="3">
        <v>905.46573289892319</v>
      </c>
      <c r="K45" s="3">
        <v>1.6698973723615462</v>
      </c>
      <c r="L45" s="3">
        <v>0.10977955566568386</v>
      </c>
      <c r="M45" s="3">
        <v>-370.98422593176269</v>
      </c>
      <c r="N45" s="3">
        <v>3395.05392219443</v>
      </c>
      <c r="O45" s="3">
        <v>-370.98422593176269</v>
      </c>
      <c r="P45" s="3">
        <v>3395.05392219443</v>
      </c>
    </row>
    <row r="48" spans="8:16" ht="18" x14ac:dyDescent="0.35">
      <c r="H48" s="7" t="s">
        <v>33</v>
      </c>
    </row>
    <row r="49" spans="8:16" ht="15" thickBot="1" x14ac:dyDescent="0.35"/>
    <row r="50" spans="8:16" x14ac:dyDescent="0.3">
      <c r="H50" s="5" t="s">
        <v>5</v>
      </c>
      <c r="I50" s="5"/>
    </row>
    <row r="51" spans="8:16" x14ac:dyDescent="0.3">
      <c r="H51" t="s">
        <v>6</v>
      </c>
      <c r="I51">
        <v>0.9267387185932412</v>
      </c>
    </row>
    <row r="52" spans="8:16" x14ac:dyDescent="0.3">
      <c r="H52" s="6" t="s">
        <v>7</v>
      </c>
      <c r="I52" s="6">
        <v>0.85884465253984277</v>
      </c>
      <c r="K52" t="s">
        <v>42</v>
      </c>
    </row>
    <row r="53" spans="8:16" x14ac:dyDescent="0.3">
      <c r="H53" s="8" t="s">
        <v>8</v>
      </c>
      <c r="I53" s="8">
        <v>0.83767135042081919</v>
      </c>
      <c r="K53" t="s">
        <v>41</v>
      </c>
    </row>
    <row r="54" spans="8:16" x14ac:dyDescent="0.3">
      <c r="H54" t="s">
        <v>9</v>
      </c>
      <c r="I54">
        <v>1274.9355299183383</v>
      </c>
    </row>
    <row r="55" spans="8:16" ht="15" thickBot="1" x14ac:dyDescent="0.35">
      <c r="H55" s="3" t="s">
        <v>10</v>
      </c>
      <c r="I55" s="3">
        <v>24</v>
      </c>
    </row>
    <row r="57" spans="8:16" ht="15" thickBot="1" x14ac:dyDescent="0.35">
      <c r="H57" t="s">
        <v>11</v>
      </c>
    </row>
    <row r="58" spans="8:16" x14ac:dyDescent="0.3">
      <c r="H58" s="4"/>
      <c r="I58" s="4" t="s">
        <v>12</v>
      </c>
      <c r="J58" s="4" t="s">
        <v>13</v>
      </c>
      <c r="K58" s="4" t="s">
        <v>14</v>
      </c>
      <c r="L58" s="4" t="s">
        <v>15</v>
      </c>
      <c r="M58" s="4" t="s">
        <v>16</v>
      </c>
    </row>
    <row r="59" spans="8:16" x14ac:dyDescent="0.3">
      <c r="H59" t="s">
        <v>17</v>
      </c>
      <c r="I59">
        <v>3</v>
      </c>
      <c r="J59">
        <v>197798832.8493703</v>
      </c>
      <c r="K59">
        <v>65932944.283123434</v>
      </c>
      <c r="L59">
        <v>40.56262210362528</v>
      </c>
      <c r="M59">
        <v>1.0848241924601749E-8</v>
      </c>
    </row>
    <row r="60" spans="8:16" x14ac:dyDescent="0.3">
      <c r="H60" t="s">
        <v>18</v>
      </c>
      <c r="I60">
        <v>20</v>
      </c>
      <c r="J60">
        <v>32509212.108963087</v>
      </c>
      <c r="K60">
        <v>1625460.6054481543</v>
      </c>
    </row>
    <row r="61" spans="8:16" ht="15" thickBot="1" x14ac:dyDescent="0.35">
      <c r="H61" s="3" t="s">
        <v>19</v>
      </c>
      <c r="I61" s="3">
        <v>23</v>
      </c>
      <c r="J61" s="3">
        <v>230308044.95833337</v>
      </c>
      <c r="K61" s="3"/>
      <c r="L61" s="3"/>
      <c r="M61" s="3"/>
    </row>
    <row r="62" spans="8:16" ht="15" thickBot="1" x14ac:dyDescent="0.35"/>
    <row r="63" spans="8:16" x14ac:dyDescent="0.3">
      <c r="H63" s="4"/>
      <c r="I63" s="4" t="s">
        <v>20</v>
      </c>
      <c r="J63" s="4" t="s">
        <v>9</v>
      </c>
      <c r="K63" s="4" t="s">
        <v>21</v>
      </c>
      <c r="L63" s="4" t="s">
        <v>22</v>
      </c>
      <c r="M63" s="4" t="s">
        <v>23</v>
      </c>
      <c r="N63" s="4" t="s">
        <v>24</v>
      </c>
      <c r="O63" s="4" t="s">
        <v>25</v>
      </c>
      <c r="P63" s="4" t="s">
        <v>26</v>
      </c>
    </row>
    <row r="64" spans="8:16" x14ac:dyDescent="0.3">
      <c r="H64" t="s">
        <v>27</v>
      </c>
      <c r="I64">
        <v>-25096.83292187014</v>
      </c>
      <c r="J64">
        <v>24859.611309125165</v>
      </c>
      <c r="K64">
        <v>-1.0095424505956736</v>
      </c>
      <c r="L64">
        <v>0.3247731563783578</v>
      </c>
      <c r="M64">
        <v>-76953.073425942348</v>
      </c>
      <c r="N64">
        <v>26759.407582202068</v>
      </c>
      <c r="O64">
        <v>-76953.073425942348</v>
      </c>
      <c r="P64">
        <v>26759.407582202068</v>
      </c>
    </row>
    <row r="65" spans="8:16" x14ac:dyDescent="0.3">
      <c r="H65" t="s">
        <v>2</v>
      </c>
      <c r="I65">
        <v>-5055.2698659208454</v>
      </c>
      <c r="J65">
        <v>526.39955369758263</v>
      </c>
      <c r="K65">
        <v>-9.603484331267321</v>
      </c>
      <c r="L65">
        <v>6.2195445077898593E-9</v>
      </c>
      <c r="M65">
        <v>-6153.3200935910681</v>
      </c>
      <c r="N65">
        <v>-3957.2196382506231</v>
      </c>
      <c r="O65">
        <v>-6153.3200935910681</v>
      </c>
      <c r="P65">
        <v>-3957.2196382506231</v>
      </c>
    </row>
    <row r="66" spans="8:16" x14ac:dyDescent="0.3">
      <c r="H66" t="s">
        <v>3</v>
      </c>
      <c r="I66">
        <v>648.61214025972174</v>
      </c>
      <c r="J66">
        <v>209.0048787092347</v>
      </c>
      <c r="K66">
        <v>3.10333492818636</v>
      </c>
      <c r="L66">
        <v>5.6023444867755188E-3</v>
      </c>
      <c r="M66">
        <v>212.63560297202258</v>
      </c>
      <c r="N66">
        <v>1084.588677547421</v>
      </c>
      <c r="O66">
        <v>212.63560297202258</v>
      </c>
      <c r="P66">
        <v>1084.588677547421</v>
      </c>
    </row>
    <row r="67" spans="8:16" ht="15" thickBot="1" x14ac:dyDescent="0.35">
      <c r="H67" s="3" t="s">
        <v>4</v>
      </c>
      <c r="I67" s="3">
        <v>1802.6109561246008</v>
      </c>
      <c r="J67" s="3">
        <v>392.84854270927622</v>
      </c>
      <c r="K67" s="3">
        <v>4.5885647015333477</v>
      </c>
      <c r="L67" s="3">
        <v>1.7801627164016712E-4</v>
      </c>
      <c r="M67" s="3">
        <v>983.14325572138762</v>
      </c>
      <c r="N67" s="3">
        <v>2622.078656527814</v>
      </c>
      <c r="O67" s="3">
        <v>983.14325572138762</v>
      </c>
      <c r="P67" s="3">
        <v>2622.078656527814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74CD3-5543-4EAE-8984-34ADA0CF1286}">
  <dimension ref="A1:R75"/>
  <sheetViews>
    <sheetView zoomScale="150" zoomScaleNormal="150" workbookViewId="0">
      <selection activeCell="F2" sqref="F2"/>
    </sheetView>
  </sheetViews>
  <sheetFormatPr defaultRowHeight="14.4" x14ac:dyDescent="0.3"/>
  <cols>
    <col min="2" max="2" width="14.77734375" customWidth="1"/>
    <col min="3" max="3" width="10.109375" customWidth="1"/>
    <col min="4" max="4" width="15.109375" customWidth="1"/>
    <col min="5" max="5" width="16.44140625" customWidth="1"/>
    <col min="6" max="6" width="14.6640625" customWidth="1"/>
    <col min="7" max="7" width="11.33203125" customWidth="1"/>
    <col min="8" max="8" width="18.21875" customWidth="1"/>
    <col min="9" max="9" width="25.44140625" customWidth="1"/>
    <col min="10" max="10" width="20.88671875" customWidth="1"/>
    <col min="11" max="11" width="12.77734375" customWidth="1"/>
    <col min="12" max="12" width="12.6640625" customWidth="1"/>
    <col min="13" max="13" width="9.44140625" customWidth="1"/>
    <col min="14" max="15" width="10.21875" customWidth="1"/>
    <col min="16" max="16" width="11.44140625" customWidth="1"/>
    <col min="17" max="17" width="11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34</v>
      </c>
      <c r="G1" s="1" t="s">
        <v>35</v>
      </c>
      <c r="H1" s="1"/>
    </row>
    <row r="2" spans="1:10" x14ac:dyDescent="0.3">
      <c r="A2">
        <v>1</v>
      </c>
      <c r="B2">
        <v>73959</v>
      </c>
      <c r="C2" s="2">
        <v>8.75</v>
      </c>
      <c r="D2" s="2">
        <v>50.04</v>
      </c>
      <c r="E2" s="2">
        <v>61.13</v>
      </c>
      <c r="F2">
        <v>8</v>
      </c>
      <c r="G2">
        <v>51</v>
      </c>
    </row>
    <row r="3" spans="1:10" x14ac:dyDescent="0.3">
      <c r="A3">
        <v>2</v>
      </c>
      <c r="B3">
        <v>71544</v>
      </c>
      <c r="C3" s="2">
        <v>8.99</v>
      </c>
      <c r="D3" s="2">
        <v>50.74</v>
      </c>
      <c r="E3" s="2">
        <v>60.19</v>
      </c>
      <c r="F3">
        <v>72</v>
      </c>
      <c r="G3">
        <v>82</v>
      </c>
    </row>
    <row r="4" spans="1:10" x14ac:dyDescent="0.3">
      <c r="A4">
        <v>3</v>
      </c>
      <c r="B4">
        <v>78587</v>
      </c>
      <c r="C4" s="2">
        <v>7.5</v>
      </c>
      <c r="D4" s="2">
        <v>50.14</v>
      </c>
      <c r="E4" s="2">
        <v>59.16</v>
      </c>
      <c r="F4">
        <v>68</v>
      </c>
      <c r="G4">
        <v>70</v>
      </c>
    </row>
    <row r="5" spans="1:10" x14ac:dyDescent="0.3">
      <c r="A5">
        <v>4</v>
      </c>
      <c r="B5">
        <v>80364</v>
      </c>
      <c r="C5" s="2">
        <v>7.25</v>
      </c>
      <c r="D5" s="2">
        <v>50.27</v>
      </c>
      <c r="E5" s="2">
        <v>60.38</v>
      </c>
      <c r="F5">
        <v>100</v>
      </c>
      <c r="G5">
        <v>24</v>
      </c>
    </row>
    <row r="6" spans="1:10" x14ac:dyDescent="0.3">
      <c r="A6">
        <v>5</v>
      </c>
      <c r="B6">
        <v>78771</v>
      </c>
      <c r="C6" s="2">
        <v>7.4</v>
      </c>
      <c r="D6" s="2">
        <v>51.25</v>
      </c>
      <c r="E6" s="2">
        <v>59.71</v>
      </c>
      <c r="F6">
        <v>23</v>
      </c>
      <c r="G6">
        <v>2</v>
      </c>
    </row>
    <row r="7" spans="1:10" ht="18" x14ac:dyDescent="0.35">
      <c r="A7">
        <v>6</v>
      </c>
      <c r="B7">
        <v>71986</v>
      </c>
      <c r="C7" s="2">
        <v>8.5</v>
      </c>
      <c r="D7" s="2">
        <v>50.65</v>
      </c>
      <c r="E7" s="2">
        <v>59.88</v>
      </c>
      <c r="F7">
        <v>3</v>
      </c>
      <c r="G7">
        <v>12</v>
      </c>
      <c r="I7" s="7"/>
    </row>
    <row r="8" spans="1:10" x14ac:dyDescent="0.3">
      <c r="A8">
        <v>7</v>
      </c>
      <c r="B8">
        <v>74885</v>
      </c>
      <c r="C8" s="2">
        <v>8.4</v>
      </c>
      <c r="D8" s="2">
        <v>50.87</v>
      </c>
      <c r="E8" s="2">
        <v>60.14</v>
      </c>
      <c r="F8">
        <v>60</v>
      </c>
      <c r="G8">
        <v>16</v>
      </c>
    </row>
    <row r="9" spans="1:10" x14ac:dyDescent="0.3">
      <c r="A9">
        <v>8</v>
      </c>
      <c r="B9">
        <v>73345</v>
      </c>
      <c r="C9" s="2">
        <v>7.9</v>
      </c>
      <c r="D9" s="2">
        <v>50.15</v>
      </c>
      <c r="E9" s="2">
        <v>60.08</v>
      </c>
      <c r="F9">
        <v>30</v>
      </c>
      <c r="G9">
        <v>61</v>
      </c>
      <c r="I9" s="10"/>
      <c r="J9" s="10"/>
    </row>
    <row r="10" spans="1:10" x14ac:dyDescent="0.3">
      <c r="A10">
        <v>9</v>
      </c>
      <c r="B10">
        <v>76659</v>
      </c>
      <c r="C10" s="2">
        <v>7.25</v>
      </c>
      <c r="D10" s="2">
        <v>48.24</v>
      </c>
      <c r="E10" s="2">
        <v>59.9</v>
      </c>
      <c r="F10">
        <v>77</v>
      </c>
      <c r="G10">
        <v>3</v>
      </c>
    </row>
    <row r="11" spans="1:10" x14ac:dyDescent="0.3">
      <c r="A11">
        <v>10</v>
      </c>
      <c r="B11">
        <v>71880</v>
      </c>
      <c r="C11" s="2">
        <v>8.7000000000000011</v>
      </c>
      <c r="D11" s="2">
        <v>50.19</v>
      </c>
      <c r="E11" s="2">
        <v>59.68</v>
      </c>
      <c r="F11">
        <v>30</v>
      </c>
      <c r="G11">
        <v>26</v>
      </c>
    </row>
    <row r="12" spans="1:10" x14ac:dyDescent="0.3">
      <c r="A12">
        <v>11</v>
      </c>
      <c r="B12">
        <v>73598</v>
      </c>
      <c r="C12" s="2">
        <v>8.4</v>
      </c>
      <c r="D12" s="2">
        <v>51.11</v>
      </c>
      <c r="E12" s="2">
        <v>59.83</v>
      </c>
      <c r="F12">
        <v>70</v>
      </c>
      <c r="G12">
        <v>45</v>
      </c>
    </row>
    <row r="13" spans="1:10" x14ac:dyDescent="0.3">
      <c r="A13">
        <v>12</v>
      </c>
      <c r="B13">
        <v>74893</v>
      </c>
      <c r="C13" s="2">
        <v>8.1</v>
      </c>
      <c r="D13" s="2">
        <v>51.49</v>
      </c>
      <c r="E13" s="2">
        <v>59.77</v>
      </c>
      <c r="F13">
        <v>61</v>
      </c>
      <c r="G13">
        <v>5</v>
      </c>
    </row>
    <row r="14" spans="1:10" x14ac:dyDescent="0.3">
      <c r="A14">
        <v>13</v>
      </c>
      <c r="B14">
        <v>69003</v>
      </c>
      <c r="C14" s="2">
        <v>8.4</v>
      </c>
      <c r="D14" s="2">
        <v>50.1</v>
      </c>
      <c r="E14" s="2">
        <v>59.29</v>
      </c>
      <c r="F14">
        <v>67</v>
      </c>
      <c r="G14">
        <v>38</v>
      </c>
    </row>
    <row r="15" spans="1:10" x14ac:dyDescent="0.3">
      <c r="A15">
        <v>14</v>
      </c>
      <c r="B15">
        <v>78542</v>
      </c>
      <c r="C15" s="2">
        <v>7.4</v>
      </c>
      <c r="D15" s="2">
        <v>49.24</v>
      </c>
      <c r="E15" s="2">
        <v>60.4</v>
      </c>
      <c r="F15">
        <v>44</v>
      </c>
      <c r="G15">
        <v>9</v>
      </c>
    </row>
    <row r="16" spans="1:10" x14ac:dyDescent="0.3">
      <c r="A16">
        <v>15</v>
      </c>
      <c r="B16">
        <v>72543</v>
      </c>
      <c r="C16" s="2">
        <v>8</v>
      </c>
      <c r="D16" s="2">
        <v>50.04</v>
      </c>
      <c r="E16" s="2">
        <v>59.89</v>
      </c>
      <c r="F16">
        <v>49</v>
      </c>
      <c r="G16">
        <v>68</v>
      </c>
    </row>
    <row r="17" spans="1:17" x14ac:dyDescent="0.3">
      <c r="A17">
        <v>16</v>
      </c>
      <c r="B17">
        <v>74247</v>
      </c>
      <c r="C17" s="2">
        <v>8.3000000000000007</v>
      </c>
      <c r="D17" s="2">
        <v>49.46</v>
      </c>
      <c r="E17" s="2">
        <v>60.06</v>
      </c>
      <c r="F17">
        <v>83</v>
      </c>
      <c r="G17">
        <v>31</v>
      </c>
      <c r="I17" s="9"/>
      <c r="J17" s="9"/>
      <c r="K17" s="9"/>
      <c r="L17" s="9"/>
      <c r="M17" s="9"/>
      <c r="N17" s="9"/>
    </row>
    <row r="18" spans="1:17" x14ac:dyDescent="0.3">
      <c r="A18">
        <v>17</v>
      </c>
      <c r="B18">
        <v>76253</v>
      </c>
      <c r="C18" s="2">
        <v>8.1</v>
      </c>
      <c r="D18" s="2">
        <v>51.62</v>
      </c>
      <c r="E18" s="2">
        <v>60.51</v>
      </c>
      <c r="F18">
        <v>78</v>
      </c>
      <c r="G18">
        <v>54</v>
      </c>
    </row>
    <row r="19" spans="1:17" x14ac:dyDescent="0.3">
      <c r="A19">
        <v>18</v>
      </c>
      <c r="B19">
        <v>72582</v>
      </c>
      <c r="C19" s="2">
        <v>8.2000000000000011</v>
      </c>
      <c r="D19" s="2">
        <v>49.78</v>
      </c>
      <c r="E19" s="2">
        <v>58.93</v>
      </c>
      <c r="F19">
        <v>83</v>
      </c>
      <c r="G19">
        <v>31</v>
      </c>
    </row>
    <row r="20" spans="1:17" x14ac:dyDescent="0.3">
      <c r="A20">
        <v>19</v>
      </c>
      <c r="B20">
        <v>69022</v>
      </c>
      <c r="C20" s="2">
        <v>8.99</v>
      </c>
      <c r="D20" s="2">
        <v>48.6</v>
      </c>
      <c r="E20" s="2">
        <v>60.09</v>
      </c>
      <c r="F20">
        <v>69</v>
      </c>
      <c r="G20">
        <v>4</v>
      </c>
    </row>
    <row r="21" spans="1:17" x14ac:dyDescent="0.3">
      <c r="A21">
        <v>20</v>
      </c>
      <c r="B21">
        <v>76200</v>
      </c>
      <c r="C21" s="2">
        <v>7.99</v>
      </c>
      <c r="D21" s="2">
        <v>49</v>
      </c>
      <c r="E21" s="2">
        <v>61</v>
      </c>
      <c r="F21">
        <v>52</v>
      </c>
      <c r="G21">
        <v>75</v>
      </c>
    </row>
    <row r="22" spans="1:17" x14ac:dyDescent="0.3">
      <c r="A22">
        <v>21</v>
      </c>
      <c r="B22">
        <v>69701</v>
      </c>
      <c r="C22" s="2">
        <v>8.5</v>
      </c>
      <c r="D22" s="2">
        <v>48</v>
      </c>
      <c r="E22" s="2">
        <v>59</v>
      </c>
      <c r="F22">
        <v>69</v>
      </c>
      <c r="G22">
        <v>16</v>
      </c>
      <c r="I22" s="9"/>
      <c r="J22" s="9"/>
      <c r="K22" s="9"/>
      <c r="L22" s="9"/>
      <c r="M22" s="9"/>
      <c r="N22" s="9"/>
      <c r="O22" s="9"/>
      <c r="P22" s="9"/>
      <c r="Q22" s="9"/>
    </row>
    <row r="23" spans="1:17" x14ac:dyDescent="0.3">
      <c r="A23">
        <v>22</v>
      </c>
      <c r="B23">
        <v>77005</v>
      </c>
      <c r="C23" s="2">
        <v>7.9</v>
      </c>
      <c r="D23" s="2">
        <v>54</v>
      </c>
      <c r="E23" s="2">
        <v>59.5</v>
      </c>
      <c r="F23">
        <v>67</v>
      </c>
      <c r="G23">
        <v>99</v>
      </c>
    </row>
    <row r="24" spans="1:17" x14ac:dyDescent="0.3">
      <c r="A24">
        <v>23</v>
      </c>
      <c r="B24">
        <v>70987</v>
      </c>
      <c r="C24" s="2">
        <v>7.99</v>
      </c>
      <c r="D24" s="2">
        <v>48.7</v>
      </c>
      <c r="E24" s="2">
        <v>58</v>
      </c>
      <c r="F24">
        <v>86</v>
      </c>
      <c r="G24">
        <v>23</v>
      </c>
    </row>
    <row r="25" spans="1:17" x14ac:dyDescent="0.3">
      <c r="A25">
        <v>24</v>
      </c>
      <c r="B25">
        <v>75643</v>
      </c>
      <c r="C25" s="2">
        <v>8.25</v>
      </c>
      <c r="D25" s="2">
        <v>50</v>
      </c>
      <c r="E25" s="2">
        <v>60.5</v>
      </c>
      <c r="F25">
        <v>5</v>
      </c>
      <c r="G25">
        <v>35</v>
      </c>
    </row>
    <row r="27" spans="1:17" x14ac:dyDescent="0.3">
      <c r="C27" s="2"/>
      <c r="D27" s="2"/>
      <c r="E27" s="2"/>
    </row>
    <row r="28" spans="1:17" x14ac:dyDescent="0.3">
      <c r="C28" s="2"/>
      <c r="D28" s="2"/>
      <c r="E28" s="2"/>
    </row>
    <row r="29" spans="1:17" x14ac:dyDescent="0.3">
      <c r="B29" s="1" t="s">
        <v>36</v>
      </c>
      <c r="C29" s="2"/>
      <c r="D29" s="2"/>
      <c r="E29" s="2"/>
      <c r="J29" s="10"/>
      <c r="K29" s="10"/>
    </row>
    <row r="30" spans="1:17" x14ac:dyDescent="0.3">
      <c r="A30">
        <v>1</v>
      </c>
      <c r="B30">
        <f ca="1">RANDBETWEEN(0,100)</f>
        <v>57</v>
      </c>
    </row>
    <row r="31" spans="1:17" x14ac:dyDescent="0.3">
      <c r="A31">
        <v>2</v>
      </c>
      <c r="B31">
        <f t="shared" ref="B31:B53" ca="1" si="0">RANDBETWEEN(0,100)</f>
        <v>74</v>
      </c>
    </row>
    <row r="32" spans="1:17" ht="18" x14ac:dyDescent="0.35">
      <c r="A32">
        <v>3</v>
      </c>
      <c r="B32">
        <f t="shared" ca="1" si="0"/>
        <v>37</v>
      </c>
      <c r="I32" s="7"/>
    </row>
    <row r="33" spans="1:18" x14ac:dyDescent="0.3">
      <c r="A33">
        <v>4</v>
      </c>
      <c r="B33">
        <f t="shared" ca="1" si="0"/>
        <v>71</v>
      </c>
    </row>
    <row r="34" spans="1:18" x14ac:dyDescent="0.3">
      <c r="A34">
        <v>5</v>
      </c>
      <c r="B34">
        <f t="shared" ca="1" si="0"/>
        <v>67</v>
      </c>
    </row>
    <row r="35" spans="1:18" x14ac:dyDescent="0.3">
      <c r="A35">
        <v>6</v>
      </c>
      <c r="B35">
        <f t="shared" ca="1" si="0"/>
        <v>64</v>
      </c>
    </row>
    <row r="36" spans="1:18" x14ac:dyDescent="0.3">
      <c r="A36">
        <v>7</v>
      </c>
      <c r="B36">
        <f t="shared" ca="1" si="0"/>
        <v>34</v>
      </c>
      <c r="I36" s="10"/>
      <c r="J36" s="10"/>
    </row>
    <row r="37" spans="1:18" x14ac:dyDescent="0.3">
      <c r="A37">
        <v>8</v>
      </c>
      <c r="B37">
        <f t="shared" ca="1" si="0"/>
        <v>73</v>
      </c>
    </row>
    <row r="38" spans="1:18" x14ac:dyDescent="0.3">
      <c r="A38">
        <v>9</v>
      </c>
      <c r="B38">
        <f t="shared" ca="1" si="0"/>
        <v>9</v>
      </c>
    </row>
    <row r="39" spans="1:18" x14ac:dyDescent="0.3">
      <c r="A39">
        <v>10</v>
      </c>
      <c r="B39">
        <f t="shared" ca="1" si="0"/>
        <v>72</v>
      </c>
    </row>
    <row r="40" spans="1:18" x14ac:dyDescent="0.3">
      <c r="A40">
        <v>11</v>
      </c>
      <c r="B40">
        <f t="shared" ca="1" si="0"/>
        <v>80</v>
      </c>
    </row>
    <row r="41" spans="1:18" x14ac:dyDescent="0.3">
      <c r="A41">
        <v>12</v>
      </c>
      <c r="B41">
        <f t="shared" ca="1" si="0"/>
        <v>56</v>
      </c>
    </row>
    <row r="42" spans="1:18" x14ac:dyDescent="0.3">
      <c r="A42">
        <v>13</v>
      </c>
      <c r="B42">
        <f t="shared" ca="1" si="0"/>
        <v>79</v>
      </c>
      <c r="R42" s="9"/>
    </row>
    <row r="43" spans="1:18" x14ac:dyDescent="0.3">
      <c r="A43">
        <v>14</v>
      </c>
      <c r="B43">
        <f t="shared" ca="1" si="0"/>
        <v>74</v>
      </c>
    </row>
    <row r="44" spans="1:18" x14ac:dyDescent="0.3">
      <c r="A44">
        <v>15</v>
      </c>
      <c r="B44">
        <f t="shared" ca="1" si="0"/>
        <v>25</v>
      </c>
      <c r="I44" s="9"/>
      <c r="J44" s="9"/>
      <c r="K44" s="9"/>
      <c r="L44" s="9"/>
      <c r="M44" s="9"/>
      <c r="N44" s="9"/>
    </row>
    <row r="45" spans="1:18" x14ac:dyDescent="0.3">
      <c r="A45">
        <v>16</v>
      </c>
      <c r="B45">
        <f t="shared" ca="1" si="0"/>
        <v>54</v>
      </c>
    </row>
    <row r="46" spans="1:18" x14ac:dyDescent="0.3">
      <c r="A46">
        <v>17</v>
      </c>
      <c r="B46">
        <f t="shared" ca="1" si="0"/>
        <v>55</v>
      </c>
    </row>
    <row r="47" spans="1:18" x14ac:dyDescent="0.3">
      <c r="A47">
        <v>18</v>
      </c>
      <c r="B47">
        <f t="shared" ca="1" si="0"/>
        <v>11</v>
      </c>
    </row>
    <row r="48" spans="1:18" x14ac:dyDescent="0.3">
      <c r="A48">
        <v>19</v>
      </c>
      <c r="B48">
        <f t="shared" ca="1" si="0"/>
        <v>8</v>
      </c>
    </row>
    <row r="49" spans="1:17" x14ac:dyDescent="0.3">
      <c r="A49">
        <v>20</v>
      </c>
      <c r="B49">
        <f t="shared" ca="1" si="0"/>
        <v>7</v>
      </c>
      <c r="I49" s="9"/>
      <c r="J49" s="9"/>
      <c r="K49" s="9"/>
      <c r="L49" s="9"/>
      <c r="M49" s="9"/>
      <c r="N49" s="9"/>
      <c r="O49" s="9"/>
      <c r="P49" s="9"/>
      <c r="Q49" s="9"/>
    </row>
    <row r="50" spans="1:17" x14ac:dyDescent="0.3">
      <c r="A50">
        <v>21</v>
      </c>
      <c r="B50">
        <f t="shared" ca="1" si="0"/>
        <v>27</v>
      </c>
    </row>
    <row r="51" spans="1:17" x14ac:dyDescent="0.3">
      <c r="A51">
        <v>22</v>
      </c>
      <c r="B51">
        <f t="shared" ca="1" si="0"/>
        <v>42</v>
      </c>
    </row>
    <row r="52" spans="1:17" x14ac:dyDescent="0.3">
      <c r="A52">
        <v>23</v>
      </c>
      <c r="B52">
        <f t="shared" ca="1" si="0"/>
        <v>1</v>
      </c>
    </row>
    <row r="53" spans="1:17" x14ac:dyDescent="0.3">
      <c r="A53">
        <v>24</v>
      </c>
      <c r="B53">
        <f t="shared" ca="1" si="0"/>
        <v>33</v>
      </c>
    </row>
    <row r="57" spans="1:17" ht="18" x14ac:dyDescent="0.35">
      <c r="I57" s="7"/>
    </row>
    <row r="62" spans="1:17" x14ac:dyDescent="0.3">
      <c r="I62" s="10"/>
      <c r="J62" s="10"/>
    </row>
    <row r="70" spans="9:17" x14ac:dyDescent="0.3">
      <c r="I70" s="9"/>
      <c r="J70" s="9"/>
      <c r="K70" s="9"/>
      <c r="L70" s="9"/>
      <c r="M70" s="9"/>
      <c r="N70" s="9"/>
    </row>
    <row r="75" spans="9:17" x14ac:dyDescent="0.3">
      <c r="I75" s="9"/>
      <c r="J75" s="9"/>
      <c r="K75" s="9"/>
      <c r="L75" s="9"/>
      <c r="M75" s="9"/>
      <c r="N75" s="9"/>
      <c r="O75" s="9"/>
      <c r="P75" s="9"/>
      <c r="Q75" s="9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8E359-7482-48E9-9DB2-51E55A5FE4E6}">
  <dimension ref="A1:R81"/>
  <sheetViews>
    <sheetView tabSelected="1" topLeftCell="E34" zoomScale="150" zoomScaleNormal="150" workbookViewId="0">
      <selection activeCell="I58" sqref="I58"/>
    </sheetView>
  </sheetViews>
  <sheetFormatPr defaultRowHeight="14.4" x14ac:dyDescent="0.3"/>
  <cols>
    <col min="2" max="2" width="14.77734375" customWidth="1"/>
    <col min="3" max="3" width="10.109375" customWidth="1"/>
    <col min="4" max="4" width="15.109375" customWidth="1"/>
    <col min="5" max="5" width="16.44140625" customWidth="1"/>
    <col min="6" max="6" width="14.6640625" customWidth="1"/>
    <col min="7" max="7" width="11.33203125" customWidth="1"/>
    <col min="8" max="8" width="18.21875" customWidth="1"/>
    <col min="9" max="9" width="25.44140625" customWidth="1"/>
    <col min="10" max="10" width="20.88671875" customWidth="1"/>
    <col min="11" max="11" width="12.77734375" customWidth="1"/>
    <col min="12" max="12" width="12.6640625" customWidth="1"/>
    <col min="13" max="13" width="9.44140625" customWidth="1"/>
    <col min="14" max="15" width="10.21875" customWidth="1"/>
    <col min="16" max="16" width="11.44140625" customWidth="1"/>
    <col min="17" max="17" width="11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34</v>
      </c>
      <c r="G1" s="1" t="s">
        <v>35</v>
      </c>
      <c r="H1" s="1"/>
    </row>
    <row r="2" spans="1:10" x14ac:dyDescent="0.3">
      <c r="A2">
        <v>1</v>
      </c>
      <c r="B2">
        <v>73959</v>
      </c>
      <c r="C2" s="2">
        <v>8.75</v>
      </c>
      <c r="D2" s="2">
        <v>50.04</v>
      </c>
      <c r="E2" s="2">
        <v>61.13</v>
      </c>
      <c r="F2">
        <v>8</v>
      </c>
      <c r="G2">
        <v>51</v>
      </c>
    </row>
    <row r="3" spans="1:10" x14ac:dyDescent="0.3">
      <c r="A3">
        <v>2</v>
      </c>
      <c r="B3">
        <v>71544</v>
      </c>
      <c r="C3" s="2">
        <v>8.99</v>
      </c>
      <c r="D3" s="2">
        <v>50.74</v>
      </c>
      <c r="E3" s="2">
        <v>60.19</v>
      </c>
      <c r="F3">
        <v>72</v>
      </c>
      <c r="G3">
        <v>82</v>
      </c>
    </row>
    <row r="4" spans="1:10" x14ac:dyDescent="0.3">
      <c r="A4">
        <v>3</v>
      </c>
      <c r="B4">
        <v>78587</v>
      </c>
      <c r="C4" s="2">
        <v>7.5</v>
      </c>
      <c r="D4" s="2">
        <v>50.14</v>
      </c>
      <c r="E4" s="2">
        <v>59.16</v>
      </c>
      <c r="F4">
        <v>68</v>
      </c>
      <c r="G4">
        <v>70</v>
      </c>
    </row>
    <row r="5" spans="1:10" x14ac:dyDescent="0.3">
      <c r="A5">
        <v>4</v>
      </c>
      <c r="B5">
        <v>80364</v>
      </c>
      <c r="C5" s="2">
        <v>7.25</v>
      </c>
      <c r="D5" s="2">
        <v>50.27</v>
      </c>
      <c r="E5" s="2">
        <v>60.38</v>
      </c>
      <c r="F5">
        <v>100</v>
      </c>
      <c r="G5">
        <v>24</v>
      </c>
    </row>
    <row r="6" spans="1:10" x14ac:dyDescent="0.3">
      <c r="A6">
        <v>5</v>
      </c>
      <c r="B6">
        <v>78771</v>
      </c>
      <c r="C6" s="2">
        <v>7.4</v>
      </c>
      <c r="D6" s="2">
        <v>51.25</v>
      </c>
      <c r="E6" s="2">
        <v>59.71</v>
      </c>
      <c r="F6">
        <v>23</v>
      </c>
      <c r="G6">
        <v>2</v>
      </c>
    </row>
    <row r="7" spans="1:10" ht="18" x14ac:dyDescent="0.35">
      <c r="A7">
        <v>6</v>
      </c>
      <c r="B7">
        <v>71986</v>
      </c>
      <c r="C7" s="2">
        <v>8.5</v>
      </c>
      <c r="D7" s="2">
        <v>50.65</v>
      </c>
      <c r="E7" s="2">
        <v>59.88</v>
      </c>
      <c r="F7">
        <v>3</v>
      </c>
      <c r="G7">
        <v>12</v>
      </c>
      <c r="I7" s="7" t="s">
        <v>31</v>
      </c>
    </row>
    <row r="8" spans="1:10" ht="15" thickBot="1" x14ac:dyDescent="0.35">
      <c r="A8">
        <v>7</v>
      </c>
      <c r="B8">
        <v>74885</v>
      </c>
      <c r="C8" s="2">
        <v>8.4</v>
      </c>
      <c r="D8" s="2">
        <v>50.87</v>
      </c>
      <c r="E8" s="2">
        <v>60.14</v>
      </c>
      <c r="F8">
        <v>60</v>
      </c>
      <c r="G8">
        <v>16</v>
      </c>
    </row>
    <row r="9" spans="1:10" x14ac:dyDescent="0.3">
      <c r="A9">
        <v>8</v>
      </c>
      <c r="B9">
        <v>73345</v>
      </c>
      <c r="C9" s="2">
        <v>7.9</v>
      </c>
      <c r="D9" s="2">
        <v>50.15</v>
      </c>
      <c r="E9" s="2">
        <v>60.08</v>
      </c>
      <c r="F9">
        <v>30</v>
      </c>
      <c r="G9">
        <v>61</v>
      </c>
      <c r="I9" s="5" t="s">
        <v>5</v>
      </c>
      <c r="J9" s="5"/>
    </row>
    <row r="10" spans="1:10" x14ac:dyDescent="0.3">
      <c r="A10">
        <v>9</v>
      </c>
      <c r="B10">
        <v>76659</v>
      </c>
      <c r="C10" s="2">
        <v>7.25</v>
      </c>
      <c r="D10" s="2">
        <v>48.24</v>
      </c>
      <c r="E10" s="2">
        <v>59.9</v>
      </c>
      <c r="F10">
        <v>77</v>
      </c>
      <c r="G10">
        <v>3</v>
      </c>
      <c r="I10" t="s">
        <v>6</v>
      </c>
      <c r="J10">
        <v>0.9267387185932412</v>
      </c>
    </row>
    <row r="11" spans="1:10" x14ac:dyDescent="0.3">
      <c r="A11">
        <v>10</v>
      </c>
      <c r="B11">
        <v>71880</v>
      </c>
      <c r="C11" s="2">
        <v>8.7000000000000011</v>
      </c>
      <c r="D11" s="2">
        <v>50.19</v>
      </c>
      <c r="E11" s="2">
        <v>59.68</v>
      </c>
      <c r="F11">
        <v>30</v>
      </c>
      <c r="G11">
        <v>26</v>
      </c>
      <c r="I11" s="6" t="s">
        <v>7</v>
      </c>
      <c r="J11" s="6">
        <v>0.85884465253984277</v>
      </c>
    </row>
    <row r="12" spans="1:10" x14ac:dyDescent="0.3">
      <c r="A12">
        <v>11</v>
      </c>
      <c r="B12">
        <v>73598</v>
      </c>
      <c r="C12" s="2">
        <v>8.4</v>
      </c>
      <c r="D12" s="2">
        <v>51.11</v>
      </c>
      <c r="E12" s="2">
        <v>59.83</v>
      </c>
      <c r="F12">
        <v>70</v>
      </c>
      <c r="G12">
        <v>45</v>
      </c>
      <c r="I12" s="8" t="s">
        <v>8</v>
      </c>
      <c r="J12" s="8">
        <v>0.83767135042081919</v>
      </c>
    </row>
    <row r="13" spans="1:10" x14ac:dyDescent="0.3">
      <c r="A13">
        <v>12</v>
      </c>
      <c r="B13">
        <v>74893</v>
      </c>
      <c r="C13" s="2">
        <v>8.1</v>
      </c>
      <c r="D13" s="2">
        <v>51.49</v>
      </c>
      <c r="E13" s="2">
        <v>59.77</v>
      </c>
      <c r="F13">
        <v>61</v>
      </c>
      <c r="G13">
        <v>5</v>
      </c>
      <c r="I13" t="s">
        <v>9</v>
      </c>
      <c r="J13">
        <v>1274.9355299183383</v>
      </c>
    </row>
    <row r="14" spans="1:10" ht="15" thickBot="1" x14ac:dyDescent="0.35">
      <c r="A14">
        <v>13</v>
      </c>
      <c r="B14">
        <v>69003</v>
      </c>
      <c r="C14" s="2">
        <v>8.4</v>
      </c>
      <c r="D14" s="2">
        <v>50.1</v>
      </c>
      <c r="E14" s="2">
        <v>59.29</v>
      </c>
      <c r="F14">
        <v>67</v>
      </c>
      <c r="G14">
        <v>38</v>
      </c>
      <c r="I14" s="3" t="s">
        <v>10</v>
      </c>
      <c r="J14" s="3">
        <v>24</v>
      </c>
    </row>
    <row r="15" spans="1:10" x14ac:dyDescent="0.3">
      <c r="A15">
        <v>14</v>
      </c>
      <c r="B15">
        <v>78542</v>
      </c>
      <c r="C15" s="2">
        <v>7.4</v>
      </c>
      <c r="D15" s="2">
        <v>49.24</v>
      </c>
      <c r="E15" s="2">
        <v>60.4</v>
      </c>
      <c r="F15">
        <v>44</v>
      </c>
      <c r="G15">
        <v>9</v>
      </c>
    </row>
    <row r="16" spans="1:10" ht="15" thickBot="1" x14ac:dyDescent="0.35">
      <c r="A16">
        <v>15</v>
      </c>
      <c r="B16">
        <v>72543</v>
      </c>
      <c r="C16" s="2">
        <v>8</v>
      </c>
      <c r="D16" s="2">
        <v>50.04</v>
      </c>
      <c r="E16" s="2">
        <v>59.89</v>
      </c>
      <c r="F16">
        <v>49</v>
      </c>
      <c r="G16">
        <v>68</v>
      </c>
      <c r="I16" t="s">
        <v>11</v>
      </c>
    </row>
    <row r="17" spans="1:17" x14ac:dyDescent="0.3">
      <c r="A17">
        <v>16</v>
      </c>
      <c r="B17">
        <v>74247</v>
      </c>
      <c r="C17" s="2">
        <v>8.3000000000000007</v>
      </c>
      <c r="D17" s="2">
        <v>49.46</v>
      </c>
      <c r="E17" s="2">
        <v>60.06</v>
      </c>
      <c r="F17">
        <v>83</v>
      </c>
      <c r="G17">
        <v>31</v>
      </c>
      <c r="I17" s="4"/>
      <c r="J17" s="4" t="s">
        <v>12</v>
      </c>
      <c r="K17" s="4" t="s">
        <v>13</v>
      </c>
      <c r="L17" s="4" t="s">
        <v>14</v>
      </c>
      <c r="M17" s="4" t="s">
        <v>15</v>
      </c>
      <c r="N17" s="4" t="s">
        <v>16</v>
      </c>
    </row>
    <row r="18" spans="1:17" x14ac:dyDescent="0.3">
      <c r="A18">
        <v>17</v>
      </c>
      <c r="B18">
        <v>76253</v>
      </c>
      <c r="C18" s="2">
        <v>8.1</v>
      </c>
      <c r="D18" s="2">
        <v>51.62</v>
      </c>
      <c r="E18" s="2">
        <v>60.51</v>
      </c>
      <c r="F18">
        <v>78</v>
      </c>
      <c r="G18">
        <v>54</v>
      </c>
      <c r="I18" t="s">
        <v>17</v>
      </c>
      <c r="J18">
        <v>3</v>
      </c>
      <c r="K18">
        <v>197798832.8493703</v>
      </c>
      <c r="L18">
        <v>65932944.283123434</v>
      </c>
      <c r="M18">
        <v>40.56262210362528</v>
      </c>
      <c r="N18">
        <v>1.0848241924601749E-8</v>
      </c>
    </row>
    <row r="19" spans="1:17" x14ac:dyDescent="0.3">
      <c r="A19">
        <v>18</v>
      </c>
      <c r="B19">
        <v>72582</v>
      </c>
      <c r="C19" s="2">
        <v>8.2000000000000011</v>
      </c>
      <c r="D19" s="2">
        <v>49.78</v>
      </c>
      <c r="E19" s="2">
        <v>58.93</v>
      </c>
      <c r="F19">
        <v>83</v>
      </c>
      <c r="G19">
        <v>31</v>
      </c>
      <c r="I19" t="s">
        <v>18</v>
      </c>
      <c r="J19">
        <v>20</v>
      </c>
      <c r="K19">
        <v>32509212.108963087</v>
      </c>
      <c r="L19">
        <v>1625460.6054481543</v>
      </c>
    </row>
    <row r="20" spans="1:17" ht="15" thickBot="1" x14ac:dyDescent="0.35">
      <c r="A20">
        <v>19</v>
      </c>
      <c r="B20">
        <v>69022</v>
      </c>
      <c r="C20" s="2">
        <v>8.99</v>
      </c>
      <c r="D20" s="2">
        <v>48.6</v>
      </c>
      <c r="E20" s="2">
        <v>60.09</v>
      </c>
      <c r="F20">
        <v>69</v>
      </c>
      <c r="G20">
        <v>4</v>
      </c>
      <c r="I20" s="3" t="s">
        <v>19</v>
      </c>
      <c r="J20" s="3">
        <v>23</v>
      </c>
      <c r="K20" s="3">
        <v>230308044.95833337</v>
      </c>
      <c r="L20" s="3"/>
      <c r="M20" s="3"/>
      <c r="N20" s="3"/>
    </row>
    <row r="21" spans="1:17" ht="15" thickBot="1" x14ac:dyDescent="0.35">
      <c r="A21">
        <v>20</v>
      </c>
      <c r="B21">
        <v>76200</v>
      </c>
      <c r="C21" s="2">
        <v>7.99</v>
      </c>
      <c r="D21" s="2">
        <v>49</v>
      </c>
      <c r="E21" s="2">
        <v>61</v>
      </c>
      <c r="F21">
        <v>52</v>
      </c>
      <c r="G21">
        <v>75</v>
      </c>
    </row>
    <row r="22" spans="1:17" x14ac:dyDescent="0.3">
      <c r="A22">
        <v>21</v>
      </c>
      <c r="B22">
        <v>69701</v>
      </c>
      <c r="C22" s="2">
        <v>8.5</v>
      </c>
      <c r="D22" s="2">
        <v>48</v>
      </c>
      <c r="E22" s="2">
        <v>59</v>
      </c>
      <c r="F22">
        <v>69</v>
      </c>
      <c r="G22">
        <v>16</v>
      </c>
      <c r="I22" s="4"/>
      <c r="J22" s="4" t="s">
        <v>20</v>
      </c>
      <c r="K22" s="4" t="s">
        <v>9</v>
      </c>
      <c r="L22" s="4" t="s">
        <v>21</v>
      </c>
      <c r="M22" s="4" t="s">
        <v>22</v>
      </c>
      <c r="N22" s="4" t="s">
        <v>23</v>
      </c>
      <c r="O22" s="4" t="s">
        <v>24</v>
      </c>
      <c r="P22" s="4" t="s">
        <v>25</v>
      </c>
      <c r="Q22" s="4" t="s">
        <v>26</v>
      </c>
    </row>
    <row r="23" spans="1:17" x14ac:dyDescent="0.3">
      <c r="A23">
        <v>22</v>
      </c>
      <c r="B23">
        <v>77005</v>
      </c>
      <c r="C23" s="2">
        <v>7.9</v>
      </c>
      <c r="D23" s="2">
        <v>54</v>
      </c>
      <c r="E23" s="2">
        <v>59.5</v>
      </c>
      <c r="F23">
        <v>67</v>
      </c>
      <c r="G23">
        <v>99</v>
      </c>
      <c r="I23" t="s">
        <v>27</v>
      </c>
      <c r="J23">
        <v>-25096.83292187014</v>
      </c>
      <c r="K23">
        <v>24859.611309125165</v>
      </c>
      <c r="L23">
        <v>-1.0095424505956736</v>
      </c>
      <c r="M23">
        <v>0.3247731563783578</v>
      </c>
      <c r="N23">
        <v>-76953.073425942348</v>
      </c>
      <c r="O23">
        <v>26759.407582202068</v>
      </c>
      <c r="P23">
        <v>-76953.073425942348</v>
      </c>
      <c r="Q23">
        <v>26759.407582202068</v>
      </c>
    </row>
    <row r="24" spans="1:17" x14ac:dyDescent="0.3">
      <c r="A24">
        <v>23</v>
      </c>
      <c r="B24">
        <v>70987</v>
      </c>
      <c r="C24" s="2">
        <v>7.99</v>
      </c>
      <c r="D24" s="2">
        <v>48.7</v>
      </c>
      <c r="E24" s="2">
        <v>58</v>
      </c>
      <c r="F24">
        <v>86</v>
      </c>
      <c r="G24">
        <v>23</v>
      </c>
      <c r="I24" t="s">
        <v>2</v>
      </c>
      <c r="J24">
        <v>-5055.2698659208454</v>
      </c>
      <c r="K24">
        <v>526.39955369758263</v>
      </c>
      <c r="L24">
        <v>-9.603484331267321</v>
      </c>
      <c r="M24" s="11">
        <v>6.2195445077898593E-9</v>
      </c>
      <c r="N24">
        <v>-6153.3200935910681</v>
      </c>
      <c r="O24">
        <v>-3957.2196382506231</v>
      </c>
      <c r="P24">
        <v>-6153.3200935910681</v>
      </c>
      <c r="Q24">
        <v>-3957.2196382506231</v>
      </c>
    </row>
    <row r="25" spans="1:17" x14ac:dyDescent="0.3">
      <c r="A25">
        <v>24</v>
      </c>
      <c r="B25">
        <v>75643</v>
      </c>
      <c r="C25" s="2">
        <v>8.25</v>
      </c>
      <c r="D25" s="2">
        <v>50</v>
      </c>
      <c r="E25" s="2">
        <v>60.5</v>
      </c>
      <c r="F25">
        <v>5</v>
      </c>
      <c r="G25">
        <v>35</v>
      </c>
      <c r="I25" t="s">
        <v>3</v>
      </c>
      <c r="J25">
        <v>648.61214025972174</v>
      </c>
      <c r="K25">
        <v>209.0048787092347</v>
      </c>
      <c r="L25">
        <v>3.10333492818636</v>
      </c>
      <c r="M25" s="11">
        <v>5.6023444867755188E-3</v>
      </c>
      <c r="N25">
        <v>212.63560297202258</v>
      </c>
      <c r="O25">
        <v>1084.588677547421</v>
      </c>
      <c r="P25">
        <v>212.63560297202258</v>
      </c>
      <c r="Q25">
        <v>1084.588677547421</v>
      </c>
    </row>
    <row r="26" spans="1:17" ht="15" thickBot="1" x14ac:dyDescent="0.35">
      <c r="I26" s="3" t="s">
        <v>4</v>
      </c>
      <c r="J26" s="3">
        <v>1802.6109561246008</v>
      </c>
      <c r="K26" s="3">
        <v>392.84854270927622</v>
      </c>
      <c r="L26" s="3">
        <v>4.5885647015333477</v>
      </c>
      <c r="M26" s="12">
        <v>1.7801627164016712E-4</v>
      </c>
      <c r="N26" s="3">
        <v>983.14325572138762</v>
      </c>
      <c r="O26" s="3">
        <v>2622.078656527814</v>
      </c>
      <c r="P26" s="3">
        <v>983.14325572138762</v>
      </c>
      <c r="Q26" s="3">
        <v>2622.078656527814</v>
      </c>
    </row>
    <row r="27" spans="1:17" x14ac:dyDescent="0.3">
      <c r="C27" s="2"/>
      <c r="D27" s="2"/>
      <c r="E27" s="2"/>
    </row>
    <row r="28" spans="1:17" x14ac:dyDescent="0.3">
      <c r="C28" s="2"/>
      <c r="D28" s="2"/>
      <c r="E28" s="2"/>
    </row>
    <row r="29" spans="1:17" x14ac:dyDescent="0.3">
      <c r="B29" s="1" t="s">
        <v>36</v>
      </c>
      <c r="C29" s="2"/>
      <c r="D29" s="2"/>
      <c r="E29" s="2"/>
      <c r="J29" s="10"/>
      <c r="K29" s="10"/>
    </row>
    <row r="30" spans="1:17" x14ac:dyDescent="0.3">
      <c r="A30">
        <v>1</v>
      </c>
      <c r="B30">
        <f ca="1">RANDBETWEEN(0,100)</f>
        <v>72</v>
      </c>
    </row>
    <row r="31" spans="1:17" x14ac:dyDescent="0.3">
      <c r="A31">
        <v>2</v>
      </c>
      <c r="B31">
        <f t="shared" ref="B31:B53" ca="1" si="0">RANDBETWEEN(0,100)</f>
        <v>60</v>
      </c>
    </row>
    <row r="32" spans="1:17" ht="18" x14ac:dyDescent="0.35">
      <c r="A32">
        <v>3</v>
      </c>
      <c r="B32">
        <f t="shared" ca="1" si="0"/>
        <v>2</v>
      </c>
      <c r="I32" s="7" t="s">
        <v>38</v>
      </c>
    </row>
    <row r="33" spans="1:18" x14ac:dyDescent="0.3">
      <c r="A33">
        <v>4</v>
      </c>
      <c r="B33">
        <f t="shared" ca="1" si="0"/>
        <v>100</v>
      </c>
    </row>
    <row r="34" spans="1:18" x14ac:dyDescent="0.3">
      <c r="A34">
        <v>5</v>
      </c>
      <c r="B34">
        <f t="shared" ca="1" si="0"/>
        <v>9</v>
      </c>
      <c r="I34" t="s">
        <v>37</v>
      </c>
    </row>
    <row r="35" spans="1:18" ht="15" thickBot="1" x14ac:dyDescent="0.35">
      <c r="A35">
        <v>6</v>
      </c>
      <c r="B35">
        <f t="shared" ca="1" si="0"/>
        <v>87</v>
      </c>
    </row>
    <row r="36" spans="1:18" x14ac:dyDescent="0.3">
      <c r="A36">
        <v>7</v>
      </c>
      <c r="B36">
        <f t="shared" ca="1" si="0"/>
        <v>53</v>
      </c>
      <c r="I36" s="5" t="s">
        <v>5</v>
      </c>
      <c r="J36" s="5"/>
    </row>
    <row r="37" spans="1:18" x14ac:dyDescent="0.3">
      <c r="A37">
        <v>8</v>
      </c>
      <c r="B37">
        <f t="shared" ca="1" si="0"/>
        <v>38</v>
      </c>
      <c r="I37" t="s">
        <v>6</v>
      </c>
      <c r="J37">
        <v>0.92762571259212379</v>
      </c>
    </row>
    <row r="38" spans="1:18" x14ac:dyDescent="0.3">
      <c r="A38">
        <v>9</v>
      </c>
      <c r="B38">
        <f t="shared" ca="1" si="0"/>
        <v>49</v>
      </c>
      <c r="I38" s="6" t="s">
        <v>7</v>
      </c>
      <c r="J38" s="6">
        <v>0.8604894626620454</v>
      </c>
      <c r="L38" t="s">
        <v>39</v>
      </c>
    </row>
    <row r="39" spans="1:18" x14ac:dyDescent="0.3">
      <c r="A39">
        <v>10</v>
      </c>
      <c r="B39">
        <f t="shared" ca="1" si="0"/>
        <v>85</v>
      </c>
      <c r="I39" s="8" t="s">
        <v>8</v>
      </c>
      <c r="J39" s="8">
        <v>0.83111882322247599</v>
      </c>
      <c r="L39" t="s">
        <v>40</v>
      </c>
    </row>
    <row r="40" spans="1:18" x14ac:dyDescent="0.3">
      <c r="A40">
        <v>11</v>
      </c>
      <c r="B40">
        <f t="shared" ca="1" si="0"/>
        <v>45</v>
      </c>
      <c r="I40" t="s">
        <v>9</v>
      </c>
      <c r="J40">
        <v>1300.4128717933536</v>
      </c>
    </row>
    <row r="41" spans="1:18" ht="15" thickBot="1" x14ac:dyDescent="0.35">
      <c r="A41">
        <v>12</v>
      </c>
      <c r="B41">
        <f t="shared" ca="1" si="0"/>
        <v>21</v>
      </c>
      <c r="I41" s="3" t="s">
        <v>10</v>
      </c>
      <c r="J41" s="3">
        <v>24</v>
      </c>
    </row>
    <row r="42" spans="1:18" x14ac:dyDescent="0.3">
      <c r="A42">
        <v>13</v>
      </c>
      <c r="B42">
        <f t="shared" ca="1" si="0"/>
        <v>32</v>
      </c>
      <c r="R42" s="9"/>
    </row>
    <row r="43" spans="1:18" ht="15" thickBot="1" x14ac:dyDescent="0.35">
      <c r="A43">
        <v>14</v>
      </c>
      <c r="B43">
        <f t="shared" ca="1" si="0"/>
        <v>10</v>
      </c>
      <c r="I43" t="s">
        <v>11</v>
      </c>
    </row>
    <row r="44" spans="1:18" x14ac:dyDescent="0.3">
      <c r="A44">
        <v>15</v>
      </c>
      <c r="B44">
        <f t="shared" ca="1" si="0"/>
        <v>19</v>
      </c>
      <c r="I44" s="4"/>
      <c r="J44" s="4" t="s">
        <v>12</v>
      </c>
      <c r="K44" s="4" t="s">
        <v>13</v>
      </c>
      <c r="L44" s="4" t="s">
        <v>14</v>
      </c>
      <c r="M44" s="4" t="s">
        <v>15</v>
      </c>
      <c r="N44" s="4" t="s">
        <v>16</v>
      </c>
    </row>
    <row r="45" spans="1:18" x14ac:dyDescent="0.3">
      <c r="A45">
        <v>16</v>
      </c>
      <c r="B45">
        <f t="shared" ca="1" si="0"/>
        <v>34</v>
      </c>
      <c r="I45" t="s">
        <v>17</v>
      </c>
      <c r="J45">
        <v>4</v>
      </c>
      <c r="K45">
        <v>198177645.85294247</v>
      </c>
      <c r="L45">
        <v>49544411.463235617</v>
      </c>
      <c r="M45">
        <v>29.297607375301361</v>
      </c>
      <c r="N45">
        <v>6.8605053805414901E-8</v>
      </c>
    </row>
    <row r="46" spans="1:18" x14ac:dyDescent="0.3">
      <c r="A46">
        <v>17</v>
      </c>
      <c r="B46">
        <f t="shared" ca="1" si="0"/>
        <v>12</v>
      </c>
      <c r="I46" t="s">
        <v>18</v>
      </c>
      <c r="J46">
        <v>19</v>
      </c>
      <c r="K46">
        <v>32130399.105390903</v>
      </c>
      <c r="L46">
        <v>1691073.6371258369</v>
      </c>
    </row>
    <row r="47" spans="1:18" ht="15" thickBot="1" x14ac:dyDescent="0.35">
      <c r="A47">
        <v>18</v>
      </c>
      <c r="B47">
        <f t="shared" ca="1" si="0"/>
        <v>19</v>
      </c>
      <c r="I47" s="3" t="s">
        <v>19</v>
      </c>
      <c r="J47" s="3">
        <v>23</v>
      </c>
      <c r="K47" s="3">
        <v>230308044.95833337</v>
      </c>
      <c r="L47" s="3"/>
      <c r="M47" s="3"/>
      <c r="N47" s="3"/>
    </row>
    <row r="48" spans="1:18" ht="15" thickBot="1" x14ac:dyDescent="0.35">
      <c r="A48">
        <v>19</v>
      </c>
      <c r="B48">
        <f t="shared" ca="1" si="0"/>
        <v>82</v>
      </c>
    </row>
    <row r="49" spans="1:17" x14ac:dyDescent="0.3">
      <c r="A49">
        <v>20</v>
      </c>
      <c r="B49">
        <f t="shared" ca="1" si="0"/>
        <v>15</v>
      </c>
      <c r="I49" s="4"/>
      <c r="J49" s="4" t="s">
        <v>20</v>
      </c>
      <c r="K49" s="4" t="s">
        <v>9</v>
      </c>
      <c r="L49" s="4" t="s">
        <v>21</v>
      </c>
      <c r="M49" s="4" t="s">
        <v>22</v>
      </c>
      <c r="N49" s="4" t="s">
        <v>23</v>
      </c>
      <c r="O49" s="4" t="s">
        <v>24</v>
      </c>
      <c r="P49" s="4" t="s">
        <v>25</v>
      </c>
      <c r="Q49" s="4" t="s">
        <v>26</v>
      </c>
    </row>
    <row r="50" spans="1:17" x14ac:dyDescent="0.3">
      <c r="A50">
        <v>21</v>
      </c>
      <c r="B50">
        <f t="shared" ca="1" si="0"/>
        <v>0</v>
      </c>
      <c r="I50" t="s">
        <v>27</v>
      </c>
      <c r="J50">
        <v>-30619.309848983394</v>
      </c>
      <c r="K50">
        <v>27912.229135501959</v>
      </c>
      <c r="L50">
        <v>-1.0969854718639531</v>
      </c>
      <c r="M50">
        <v>0.28635688734817227</v>
      </c>
      <c r="N50">
        <v>-89040.27684174545</v>
      </c>
      <c r="O50">
        <v>27801.657143778662</v>
      </c>
      <c r="P50">
        <v>-89040.27684174545</v>
      </c>
      <c r="Q50">
        <v>27801.657143778662</v>
      </c>
    </row>
    <row r="51" spans="1:17" x14ac:dyDescent="0.3">
      <c r="A51">
        <v>22</v>
      </c>
      <c r="B51">
        <f t="shared" ca="1" si="0"/>
        <v>97</v>
      </c>
      <c r="I51" t="s">
        <v>2</v>
      </c>
      <c r="J51">
        <v>-5010.6866682752889</v>
      </c>
      <c r="K51">
        <v>545.11917036279988</v>
      </c>
      <c r="L51">
        <v>-9.1919105779025614</v>
      </c>
      <c r="M51">
        <v>2.0087675731831871E-8</v>
      </c>
      <c r="N51">
        <v>-6151.6342043637305</v>
      </c>
      <c r="O51">
        <v>-3869.7391321868472</v>
      </c>
      <c r="P51">
        <v>-6151.6342043637305</v>
      </c>
      <c r="Q51">
        <v>-3869.7391321868472</v>
      </c>
    </row>
    <row r="52" spans="1:17" x14ac:dyDescent="0.3">
      <c r="A52">
        <v>23</v>
      </c>
      <c r="B52">
        <f t="shared" ca="1" si="0"/>
        <v>30</v>
      </c>
      <c r="I52" t="s">
        <v>3</v>
      </c>
      <c r="J52">
        <v>656.56303904484844</v>
      </c>
      <c r="K52">
        <v>213.84234620029741</v>
      </c>
      <c r="L52">
        <v>3.0703134842613098</v>
      </c>
      <c r="M52">
        <v>6.2979998791616743E-3</v>
      </c>
      <c r="N52">
        <v>208.98586459651654</v>
      </c>
      <c r="O52">
        <v>1104.1402134931805</v>
      </c>
      <c r="P52">
        <v>208.98586459651654</v>
      </c>
      <c r="Q52">
        <v>1104.1402134931805</v>
      </c>
    </row>
    <row r="53" spans="1:17" x14ac:dyDescent="0.3">
      <c r="A53">
        <v>24</v>
      </c>
      <c r="B53">
        <f t="shared" ca="1" si="0"/>
        <v>52</v>
      </c>
      <c r="I53" t="s">
        <v>4</v>
      </c>
      <c r="J53">
        <v>1877.2051312119083</v>
      </c>
      <c r="K53">
        <v>430.58030169174606</v>
      </c>
      <c r="L53">
        <v>4.3597097308826873</v>
      </c>
      <c r="M53">
        <v>3.372587192200538E-4</v>
      </c>
      <c r="N53">
        <v>975.99020241669689</v>
      </c>
      <c r="O53">
        <v>2778.4200600071199</v>
      </c>
      <c r="P53">
        <v>975.99020241669689</v>
      </c>
      <c r="Q53">
        <v>2778.4200600071199</v>
      </c>
    </row>
    <row r="54" spans="1:17" ht="15" thickBot="1" x14ac:dyDescent="0.35">
      <c r="I54" s="3" t="s">
        <v>34</v>
      </c>
      <c r="J54" s="3">
        <v>5.2252068423693157</v>
      </c>
      <c r="K54" s="3">
        <v>11.040082203824884</v>
      </c>
      <c r="L54" s="3">
        <v>0.47329419708116127</v>
      </c>
      <c r="M54" s="3">
        <v>0.64139565338717708</v>
      </c>
      <c r="N54" s="3">
        <v>-17.881950772881268</v>
      </c>
      <c r="O54" s="3">
        <v>28.332364457619903</v>
      </c>
      <c r="P54" s="3">
        <v>-17.881950772881268</v>
      </c>
      <c r="Q54" s="3">
        <v>28.332364457619903</v>
      </c>
    </row>
    <row r="57" spans="1:17" ht="18" x14ac:dyDescent="0.35">
      <c r="I57" s="7" t="s">
        <v>43</v>
      </c>
    </row>
    <row r="60" spans="1:17" x14ac:dyDescent="0.3">
      <c r="I60" t="s">
        <v>37</v>
      </c>
    </row>
    <row r="61" spans="1:17" ht="15" thickBot="1" x14ac:dyDescent="0.35"/>
    <row r="62" spans="1:17" x14ac:dyDescent="0.3">
      <c r="I62" s="5" t="s">
        <v>5</v>
      </c>
      <c r="J62" s="5"/>
    </row>
    <row r="63" spans="1:17" x14ac:dyDescent="0.3">
      <c r="I63" t="s">
        <v>6</v>
      </c>
      <c r="J63">
        <v>0.92838992672655507</v>
      </c>
    </row>
    <row r="64" spans="1:17" x14ac:dyDescent="0.3">
      <c r="I64" s="6" t="s">
        <v>7</v>
      </c>
      <c r="J64" s="6">
        <v>0.86190785604733833</v>
      </c>
      <c r="L64" t="s">
        <v>39</v>
      </c>
    </row>
    <row r="65" spans="9:17" x14ac:dyDescent="0.3">
      <c r="I65" s="8" t="s">
        <v>8</v>
      </c>
      <c r="J65" s="8">
        <v>0.823548927171599</v>
      </c>
      <c r="L65" t="s">
        <v>40</v>
      </c>
    </row>
    <row r="66" spans="9:17" x14ac:dyDescent="0.3">
      <c r="I66" t="s">
        <v>9</v>
      </c>
      <c r="J66">
        <v>1329.2381213362255</v>
      </c>
    </row>
    <row r="67" spans="9:17" ht="15" thickBot="1" x14ac:dyDescent="0.35">
      <c r="I67" s="3" t="s">
        <v>10</v>
      </c>
      <c r="J67" s="3">
        <v>24</v>
      </c>
    </row>
    <row r="69" spans="9:17" ht="15" thickBot="1" x14ac:dyDescent="0.35">
      <c r="I69" t="s">
        <v>11</v>
      </c>
    </row>
    <row r="70" spans="9:17" x14ac:dyDescent="0.3">
      <c r="I70" s="4"/>
      <c r="J70" s="4" t="s">
        <v>12</v>
      </c>
      <c r="K70" s="4" t="s">
        <v>13</v>
      </c>
      <c r="L70" s="4" t="s">
        <v>14</v>
      </c>
      <c r="M70" s="4" t="s">
        <v>15</v>
      </c>
      <c r="N70" s="4" t="s">
        <v>16</v>
      </c>
    </row>
    <row r="71" spans="9:17" x14ac:dyDescent="0.3">
      <c r="I71" t="s">
        <v>17</v>
      </c>
      <c r="J71">
        <v>5</v>
      </c>
      <c r="K71">
        <v>198504313.26049113</v>
      </c>
      <c r="L71">
        <v>39700862.652098224</v>
      </c>
      <c r="M71">
        <v>22.469549627921548</v>
      </c>
      <c r="N71">
        <v>3.6916980038095236E-7</v>
      </c>
    </row>
    <row r="72" spans="9:17" x14ac:dyDescent="0.3">
      <c r="I72" t="s">
        <v>18</v>
      </c>
      <c r="J72">
        <v>18</v>
      </c>
      <c r="K72">
        <v>31803731.697842248</v>
      </c>
      <c r="L72">
        <v>1766873.9832134582</v>
      </c>
    </row>
    <row r="73" spans="9:17" ht="15" thickBot="1" x14ac:dyDescent="0.35">
      <c r="I73" s="3" t="s">
        <v>19</v>
      </c>
      <c r="J73" s="3">
        <v>23</v>
      </c>
      <c r="K73" s="3">
        <v>230308044.95833337</v>
      </c>
      <c r="L73" s="3"/>
      <c r="M73" s="3"/>
      <c r="N73" s="3"/>
    </row>
    <row r="74" spans="9:17" ht="15" thickBot="1" x14ac:dyDescent="0.35"/>
    <row r="75" spans="9:17" x14ac:dyDescent="0.3">
      <c r="I75" s="4"/>
      <c r="J75" s="4" t="s">
        <v>20</v>
      </c>
      <c r="K75" s="4" t="s">
        <v>9</v>
      </c>
      <c r="L75" s="4" t="s">
        <v>21</v>
      </c>
      <c r="M75" s="4" t="s">
        <v>22</v>
      </c>
      <c r="N75" s="4" t="s">
        <v>23</v>
      </c>
      <c r="O75" s="4" t="s">
        <v>24</v>
      </c>
      <c r="P75" s="4" t="s">
        <v>25</v>
      </c>
      <c r="Q75" s="4" t="s">
        <v>26</v>
      </c>
    </row>
    <row r="76" spans="9:17" x14ac:dyDescent="0.3">
      <c r="I76" t="s">
        <v>27</v>
      </c>
      <c r="J76">
        <v>-35116.202744601243</v>
      </c>
      <c r="K76">
        <v>30387.351539659096</v>
      </c>
      <c r="L76">
        <v>-1.1556190640296651</v>
      </c>
      <c r="M76">
        <v>0.26294675380475085</v>
      </c>
      <c r="N76">
        <v>-98957.659338823461</v>
      </c>
      <c r="O76">
        <v>28725.253849620982</v>
      </c>
      <c r="P76">
        <v>-98957.659338823461</v>
      </c>
      <c r="Q76">
        <v>28725.253849620982</v>
      </c>
    </row>
    <row r="77" spans="9:17" x14ac:dyDescent="0.3">
      <c r="I77" t="s">
        <v>2</v>
      </c>
      <c r="J77">
        <v>-4976.8566647627613</v>
      </c>
      <c r="K77">
        <v>562.72969560301249</v>
      </c>
      <c r="L77">
        <v>-8.8441336998034874</v>
      </c>
      <c r="M77">
        <v>5.7081058279023689E-8</v>
      </c>
      <c r="N77">
        <v>-6159.1078849532605</v>
      </c>
      <c r="O77">
        <v>-3794.6054445722621</v>
      </c>
      <c r="P77">
        <v>-6159.1078849532605</v>
      </c>
      <c r="Q77">
        <v>-3794.6054445722621</v>
      </c>
    </row>
    <row r="78" spans="9:17" x14ac:dyDescent="0.3">
      <c r="I78" t="s">
        <v>3</v>
      </c>
      <c r="J78">
        <v>702.76340593337386</v>
      </c>
      <c r="K78">
        <v>243.56351971799384</v>
      </c>
      <c r="L78">
        <v>2.8853393428829461</v>
      </c>
      <c r="M78">
        <v>9.8523028037370425E-3</v>
      </c>
      <c r="N78">
        <v>191.05543915915803</v>
      </c>
      <c r="O78">
        <v>1214.4713727075896</v>
      </c>
      <c r="P78">
        <v>191.05543915915803</v>
      </c>
      <c r="Q78">
        <v>1214.4713727075896</v>
      </c>
    </row>
    <row r="79" spans="9:17" x14ac:dyDescent="0.3">
      <c r="I79" t="s">
        <v>4</v>
      </c>
      <c r="J79">
        <v>1911.1406521616332</v>
      </c>
      <c r="K79">
        <v>447.14490389035416</v>
      </c>
      <c r="L79">
        <v>4.2740969102720001</v>
      </c>
      <c r="M79">
        <v>4.5658625468384322E-4</v>
      </c>
      <c r="N79">
        <v>971.72406839692758</v>
      </c>
      <c r="O79">
        <v>2850.5572359263388</v>
      </c>
      <c r="P79">
        <v>971.72406839692758</v>
      </c>
      <c r="Q79">
        <v>2850.5572359263388</v>
      </c>
    </row>
    <row r="80" spans="9:17" x14ac:dyDescent="0.3">
      <c r="I80" t="s">
        <v>34</v>
      </c>
      <c r="J80">
        <v>6.1473575558054483</v>
      </c>
      <c r="K80">
        <v>11.48678015369202</v>
      </c>
      <c r="L80">
        <v>0.5351680343450812</v>
      </c>
      <c r="M80">
        <v>0.59908375428169436</v>
      </c>
      <c r="N80">
        <v>-17.985472040489451</v>
      </c>
      <c r="O80">
        <v>30.28018715210035</v>
      </c>
      <c r="P80">
        <v>-17.985472040489451</v>
      </c>
      <c r="Q80">
        <v>30.28018715210035</v>
      </c>
    </row>
    <row r="81" spans="9:17" ht="15" thickBot="1" x14ac:dyDescent="0.35">
      <c r="I81" s="3" t="s">
        <v>35</v>
      </c>
      <c r="J81" s="3">
        <v>-4.8885295320719599</v>
      </c>
      <c r="K81" s="3">
        <v>11.369153447495979</v>
      </c>
      <c r="L81" s="3">
        <v>-0.42998184118525057</v>
      </c>
      <c r="M81" s="3">
        <v>0.67231246485847884</v>
      </c>
      <c r="N81" s="3">
        <v>-28.774234588798642</v>
      </c>
      <c r="O81" s="3">
        <v>18.997175524654722</v>
      </c>
      <c r="P81" s="3">
        <v>-28.774234588798642</v>
      </c>
      <c r="Q81" s="3">
        <v>18.997175524654722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initial</vt:lpstr>
      <vt:lpstr>final-increment-v1</vt:lpstr>
      <vt:lpstr>final-increment-v2</vt:lpstr>
      <vt:lpstr>initial-noise</vt:lpstr>
      <vt:lpstr>final-increment-noise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2017-01-05T01:50:46Z</dcterms:created>
  <dcterms:modified xsi:type="dcterms:W3CDTF">2026-05-03T09:09:08Z</dcterms:modified>
</cp:coreProperties>
</file>